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9b08a12419b333/Other Missions and Projects/World Bank/Bangladesh/Training April 2026/"/>
    </mc:Choice>
  </mc:AlternateContent>
  <xr:revisionPtr revIDLastSave="0" documentId="8_{78AB1767-EE94-421D-BFC2-F99E62F10E53}" xr6:coauthVersionLast="47" xr6:coauthVersionMax="47" xr10:uidLastSave="{00000000-0000-0000-0000-000000000000}"/>
  <bookViews>
    <workbookView xWindow="-110" yWindow="-110" windowWidth="19420" windowHeight="11500" xr2:uid="{B99800AA-6A8C-4012-BFA0-3647CB3D327D}"/>
  </bookViews>
  <sheets>
    <sheet name="VAT" sheetId="2" r:id="rId1"/>
    <sheet name="GDP_LCU" sheetId="3" r:id="rId2"/>
    <sheet name="C" sheetId="6" r:id="rId3"/>
    <sheet name="G" sheetId="5" r:id="rId4"/>
    <sheet name="VAT Rates" sheetId="7" r:id="rId5"/>
    <sheet name="country_code" sheetId="4" r:id="rId6"/>
  </sheets>
  <definedNames>
    <definedName name="_xlnm._FilterDatabase" localSheetId="0" hidden="1">VAT!$A$1:$I$1</definedName>
    <definedName name="_xlnm._FilterDatabase" localSheetId="4">'VAT Rates'!$A$1:$C$1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" i="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" i="6"/>
  <c r="B3" i="2"/>
  <c r="I3" i="2" s="1"/>
  <c r="B4" i="2"/>
  <c r="I4" i="2" s="1"/>
  <c r="B5" i="2"/>
  <c r="I5" i="2" s="1"/>
  <c r="B6" i="2"/>
  <c r="I6" i="2" s="1"/>
  <c r="B7" i="2"/>
  <c r="G7" i="2" s="1"/>
  <c r="B8" i="2"/>
  <c r="G8" i="2" s="1"/>
  <c r="B9" i="2"/>
  <c r="G9" i="2" s="1"/>
  <c r="B10" i="2"/>
  <c r="G10" i="2" s="1"/>
  <c r="B11" i="2"/>
  <c r="I11" i="2" s="1"/>
  <c r="B12" i="2"/>
  <c r="I12" i="2" s="1"/>
  <c r="B13" i="2"/>
  <c r="G13" i="2" s="1"/>
  <c r="B14" i="2"/>
  <c r="G14" i="2" s="1"/>
  <c r="B15" i="2"/>
  <c r="I15" i="2" s="1"/>
  <c r="B16" i="2"/>
  <c r="I16" i="2" s="1"/>
  <c r="B17" i="2"/>
  <c r="I17" i="2" s="1"/>
  <c r="B18" i="2"/>
  <c r="I18" i="2" s="1"/>
  <c r="B19" i="2"/>
  <c r="G19" i="2" s="1"/>
  <c r="B20" i="2"/>
  <c r="G20" i="2" s="1"/>
  <c r="B21" i="2"/>
  <c r="G21" i="2" s="1"/>
  <c r="B22" i="2"/>
  <c r="G22" i="2" s="1"/>
  <c r="B23" i="2"/>
  <c r="I23" i="2" s="1"/>
  <c r="B24" i="2"/>
  <c r="I24" i="2" s="1"/>
  <c r="B25" i="2"/>
  <c r="G25" i="2" s="1"/>
  <c r="B26" i="2"/>
  <c r="G26" i="2" s="1"/>
  <c r="B27" i="2"/>
  <c r="I27" i="2" s="1"/>
  <c r="B28" i="2"/>
  <c r="I28" i="2" s="1"/>
  <c r="B29" i="2"/>
  <c r="I29" i="2" s="1"/>
  <c r="B30" i="2"/>
  <c r="I30" i="2" s="1"/>
  <c r="B31" i="2"/>
  <c r="G31" i="2" s="1"/>
  <c r="B32" i="2"/>
  <c r="G32" i="2" s="1"/>
  <c r="B33" i="2"/>
  <c r="G33" i="2" s="1"/>
  <c r="B34" i="2"/>
  <c r="G34" i="2" s="1"/>
  <c r="B35" i="2"/>
  <c r="I35" i="2" s="1"/>
  <c r="B36" i="2"/>
  <c r="I36" i="2" s="1"/>
  <c r="B37" i="2"/>
  <c r="G37" i="2" s="1"/>
  <c r="B38" i="2"/>
  <c r="G38" i="2" s="1"/>
  <c r="B39" i="2"/>
  <c r="I39" i="2" s="1"/>
  <c r="B40" i="2"/>
  <c r="I40" i="2" s="1"/>
  <c r="B41" i="2"/>
  <c r="I41" i="2" s="1"/>
  <c r="B42" i="2"/>
  <c r="I42" i="2" s="1"/>
  <c r="B43" i="2"/>
  <c r="G43" i="2" s="1"/>
  <c r="B44" i="2"/>
  <c r="G44" i="2" s="1"/>
  <c r="B45" i="2"/>
  <c r="G45" i="2" s="1"/>
  <c r="B46" i="2"/>
  <c r="G46" i="2" s="1"/>
  <c r="B47" i="2"/>
  <c r="I47" i="2" s="1"/>
  <c r="B48" i="2"/>
  <c r="I48" i="2" s="1"/>
  <c r="B49" i="2"/>
  <c r="G49" i="2" s="1"/>
  <c r="B50" i="2"/>
  <c r="G50" i="2" s="1"/>
  <c r="B51" i="2"/>
  <c r="I51" i="2" s="1"/>
  <c r="B52" i="2"/>
  <c r="I52" i="2" s="1"/>
  <c r="B53" i="2"/>
  <c r="I53" i="2" s="1"/>
  <c r="B54" i="2"/>
  <c r="I54" i="2" s="1"/>
  <c r="B55" i="2"/>
  <c r="G55" i="2" s="1"/>
  <c r="B56" i="2"/>
  <c r="G56" i="2" s="1"/>
  <c r="B57" i="2"/>
  <c r="G57" i="2" s="1"/>
  <c r="B58" i="2"/>
  <c r="G58" i="2" s="1"/>
  <c r="B59" i="2"/>
  <c r="I59" i="2" s="1"/>
  <c r="B60" i="2"/>
  <c r="I60" i="2" s="1"/>
  <c r="B61" i="2"/>
  <c r="G61" i="2" s="1"/>
  <c r="B62" i="2"/>
  <c r="G62" i="2" s="1"/>
  <c r="B63" i="2"/>
  <c r="I63" i="2" s="1"/>
  <c r="B64" i="2"/>
  <c r="I64" i="2" s="1"/>
  <c r="B65" i="2"/>
  <c r="I65" i="2" s="1"/>
  <c r="B66" i="2"/>
  <c r="I66" i="2" s="1"/>
  <c r="B67" i="2"/>
  <c r="G67" i="2" s="1"/>
  <c r="B68" i="2"/>
  <c r="G68" i="2" s="1"/>
  <c r="B69" i="2"/>
  <c r="G69" i="2" s="1"/>
  <c r="B70" i="2"/>
  <c r="G70" i="2" s="1"/>
  <c r="B71" i="2"/>
  <c r="I71" i="2" s="1"/>
  <c r="B72" i="2"/>
  <c r="I72" i="2" s="1"/>
  <c r="B73" i="2"/>
  <c r="G73" i="2" s="1"/>
  <c r="B74" i="2"/>
  <c r="G74" i="2" s="1"/>
  <c r="B75" i="2"/>
  <c r="I75" i="2" s="1"/>
  <c r="B76" i="2"/>
  <c r="I76" i="2" s="1"/>
  <c r="B77" i="2"/>
  <c r="I77" i="2" s="1"/>
  <c r="B78" i="2"/>
  <c r="I78" i="2" s="1"/>
  <c r="B79" i="2"/>
  <c r="G79" i="2" s="1"/>
  <c r="B80" i="2"/>
  <c r="G80" i="2" s="1"/>
  <c r="B81" i="2"/>
  <c r="G81" i="2" s="1"/>
  <c r="B82" i="2"/>
  <c r="G82" i="2" s="1"/>
  <c r="B83" i="2"/>
  <c r="I83" i="2" s="1"/>
  <c r="B84" i="2"/>
  <c r="I84" i="2" s="1"/>
  <c r="B85" i="2"/>
  <c r="G85" i="2" s="1"/>
  <c r="B86" i="2"/>
  <c r="G86" i="2" s="1"/>
  <c r="B87" i="2"/>
  <c r="I87" i="2" s="1"/>
  <c r="B88" i="2"/>
  <c r="I88" i="2" s="1"/>
  <c r="B89" i="2"/>
  <c r="I89" i="2" s="1"/>
  <c r="B90" i="2"/>
  <c r="I90" i="2" s="1"/>
  <c r="B91" i="2"/>
  <c r="G91" i="2" s="1"/>
  <c r="B92" i="2"/>
  <c r="G92" i="2" s="1"/>
  <c r="B93" i="2"/>
  <c r="G93" i="2" s="1"/>
  <c r="B94" i="2"/>
  <c r="G94" i="2" s="1"/>
  <c r="B95" i="2"/>
  <c r="I95" i="2" s="1"/>
  <c r="B96" i="2"/>
  <c r="I96" i="2" s="1"/>
  <c r="B97" i="2"/>
  <c r="G97" i="2" s="1"/>
  <c r="B98" i="2"/>
  <c r="G98" i="2" s="1"/>
  <c r="B99" i="2"/>
  <c r="I99" i="2" s="1"/>
  <c r="B100" i="2"/>
  <c r="I100" i="2" s="1"/>
  <c r="B101" i="2"/>
  <c r="I101" i="2" s="1"/>
  <c r="B102" i="2"/>
  <c r="I102" i="2" s="1"/>
  <c r="B103" i="2"/>
  <c r="G103" i="2" s="1"/>
  <c r="B104" i="2"/>
  <c r="G104" i="2" s="1"/>
  <c r="B105" i="2"/>
  <c r="G105" i="2" s="1"/>
  <c r="B106" i="2"/>
  <c r="G106" i="2" s="1"/>
  <c r="B107" i="2"/>
  <c r="I107" i="2" s="1"/>
  <c r="B108" i="2"/>
  <c r="I108" i="2" s="1"/>
  <c r="B109" i="2"/>
  <c r="G109" i="2" s="1"/>
  <c r="B110" i="2"/>
  <c r="G110" i="2" s="1"/>
  <c r="B111" i="2"/>
  <c r="I111" i="2" s="1"/>
  <c r="B112" i="2"/>
  <c r="I112" i="2" s="1"/>
  <c r="B113" i="2"/>
  <c r="I113" i="2" s="1"/>
  <c r="B114" i="2"/>
  <c r="I114" i="2" s="1"/>
  <c r="B115" i="2"/>
  <c r="G115" i="2" s="1"/>
  <c r="B116" i="2"/>
  <c r="G116" i="2" s="1"/>
  <c r="B117" i="2"/>
  <c r="G117" i="2" s="1"/>
  <c r="B118" i="2"/>
  <c r="G118" i="2" s="1"/>
  <c r="B119" i="2"/>
  <c r="I119" i="2" s="1"/>
  <c r="B120" i="2"/>
  <c r="I120" i="2" s="1"/>
  <c r="B121" i="2"/>
  <c r="G121" i="2" s="1"/>
  <c r="B122" i="2"/>
  <c r="G122" i="2" s="1"/>
  <c r="B123" i="2"/>
  <c r="I123" i="2" s="1"/>
  <c r="B124" i="2"/>
  <c r="I124" i="2" s="1"/>
  <c r="B125" i="2"/>
  <c r="I125" i="2" s="1"/>
  <c r="B2" i="2"/>
  <c r="I2" i="2" s="1"/>
  <c r="G2" i="2" l="1"/>
  <c r="H120" i="2"/>
  <c r="H114" i="2"/>
  <c r="H108" i="2"/>
  <c r="H102" i="2"/>
  <c r="H96" i="2"/>
  <c r="H90" i="2"/>
  <c r="H84" i="2"/>
  <c r="H78" i="2"/>
  <c r="H72" i="2"/>
  <c r="H66" i="2"/>
  <c r="H60" i="2"/>
  <c r="H54" i="2"/>
  <c r="H48" i="2"/>
  <c r="H42" i="2"/>
  <c r="H36" i="2"/>
  <c r="H30" i="2"/>
  <c r="H24" i="2"/>
  <c r="H18" i="2"/>
  <c r="H12" i="2"/>
  <c r="H6" i="2"/>
  <c r="I122" i="2"/>
  <c r="I110" i="2"/>
  <c r="I98" i="2"/>
  <c r="I86" i="2"/>
  <c r="I74" i="2"/>
  <c r="I62" i="2"/>
  <c r="I50" i="2"/>
  <c r="I38" i="2"/>
  <c r="I26" i="2"/>
  <c r="I14" i="2"/>
  <c r="H2" i="2"/>
  <c r="G120" i="2"/>
  <c r="G114" i="2"/>
  <c r="G108" i="2"/>
  <c r="G102" i="2"/>
  <c r="G96" i="2"/>
  <c r="G90" i="2"/>
  <c r="G84" i="2"/>
  <c r="G78" i="2"/>
  <c r="G72" i="2"/>
  <c r="G66" i="2"/>
  <c r="G60" i="2"/>
  <c r="G54" i="2"/>
  <c r="G48" i="2"/>
  <c r="G42" i="2"/>
  <c r="G36" i="2"/>
  <c r="G30" i="2"/>
  <c r="G24" i="2"/>
  <c r="G18" i="2"/>
  <c r="G12" i="2"/>
  <c r="G6" i="2"/>
  <c r="I121" i="2"/>
  <c r="I109" i="2"/>
  <c r="I97" i="2"/>
  <c r="I85" i="2"/>
  <c r="I73" i="2"/>
  <c r="I61" i="2"/>
  <c r="I49" i="2"/>
  <c r="I37" i="2"/>
  <c r="I25" i="2"/>
  <c r="I13" i="2"/>
  <c r="H125" i="2"/>
  <c r="H119" i="2"/>
  <c r="H113" i="2"/>
  <c r="H107" i="2"/>
  <c r="H101" i="2"/>
  <c r="H95" i="2"/>
  <c r="H89" i="2"/>
  <c r="H83" i="2"/>
  <c r="H77" i="2"/>
  <c r="H71" i="2"/>
  <c r="H65" i="2"/>
  <c r="H59" i="2"/>
  <c r="H53" i="2"/>
  <c r="H47" i="2"/>
  <c r="H41" i="2"/>
  <c r="H35" i="2"/>
  <c r="H29" i="2"/>
  <c r="H23" i="2"/>
  <c r="H17" i="2"/>
  <c r="H11" i="2"/>
  <c r="H5" i="2"/>
  <c r="G125" i="2"/>
  <c r="G119" i="2"/>
  <c r="G113" i="2"/>
  <c r="G107" i="2"/>
  <c r="G101" i="2"/>
  <c r="G95" i="2"/>
  <c r="G89" i="2"/>
  <c r="G83" i="2"/>
  <c r="G77" i="2"/>
  <c r="G71" i="2"/>
  <c r="G65" i="2"/>
  <c r="G59" i="2"/>
  <c r="G53" i="2"/>
  <c r="G47" i="2"/>
  <c r="G41" i="2"/>
  <c r="G35" i="2"/>
  <c r="G29" i="2"/>
  <c r="G23" i="2"/>
  <c r="G17" i="2"/>
  <c r="G11" i="2"/>
  <c r="G5" i="2"/>
  <c r="H124" i="2"/>
  <c r="H118" i="2"/>
  <c r="H112" i="2"/>
  <c r="H106" i="2"/>
  <c r="H100" i="2"/>
  <c r="H94" i="2"/>
  <c r="H88" i="2"/>
  <c r="H82" i="2"/>
  <c r="H76" i="2"/>
  <c r="H70" i="2"/>
  <c r="H64" i="2"/>
  <c r="H58" i="2"/>
  <c r="H52" i="2"/>
  <c r="H46" i="2"/>
  <c r="H40" i="2"/>
  <c r="H34" i="2"/>
  <c r="H28" i="2"/>
  <c r="H22" i="2"/>
  <c r="H16" i="2"/>
  <c r="H10" i="2"/>
  <c r="H4" i="2"/>
  <c r="I118" i="2"/>
  <c r="I106" i="2"/>
  <c r="I94" i="2"/>
  <c r="I82" i="2"/>
  <c r="I70" i="2"/>
  <c r="I58" i="2"/>
  <c r="I46" i="2"/>
  <c r="I34" i="2"/>
  <c r="I22" i="2"/>
  <c r="I10" i="2"/>
  <c r="G124" i="2"/>
  <c r="G112" i="2"/>
  <c r="G100" i="2"/>
  <c r="G88" i="2"/>
  <c r="G76" i="2"/>
  <c r="G64" i="2"/>
  <c r="G52" i="2"/>
  <c r="G40" i="2"/>
  <c r="G28" i="2"/>
  <c r="G16" i="2"/>
  <c r="G4" i="2"/>
  <c r="I117" i="2"/>
  <c r="I105" i="2"/>
  <c r="I93" i="2"/>
  <c r="I81" i="2"/>
  <c r="I69" i="2"/>
  <c r="I57" i="2"/>
  <c r="I45" i="2"/>
  <c r="I33" i="2"/>
  <c r="I21" i="2"/>
  <c r="I9" i="2"/>
  <c r="H123" i="2"/>
  <c r="H117" i="2"/>
  <c r="H111" i="2"/>
  <c r="H105" i="2"/>
  <c r="H99" i="2"/>
  <c r="H93" i="2"/>
  <c r="H87" i="2"/>
  <c r="H81" i="2"/>
  <c r="H75" i="2"/>
  <c r="H69" i="2"/>
  <c r="H63" i="2"/>
  <c r="H57" i="2"/>
  <c r="H51" i="2"/>
  <c r="H45" i="2"/>
  <c r="H39" i="2"/>
  <c r="H33" i="2"/>
  <c r="H27" i="2"/>
  <c r="H21" i="2"/>
  <c r="H15" i="2"/>
  <c r="H9" i="2"/>
  <c r="H3" i="2"/>
  <c r="I116" i="2"/>
  <c r="I104" i="2"/>
  <c r="I92" i="2"/>
  <c r="I80" i="2"/>
  <c r="I68" i="2"/>
  <c r="I56" i="2"/>
  <c r="I44" i="2"/>
  <c r="I32" i="2"/>
  <c r="I20" i="2"/>
  <c r="I8" i="2"/>
  <c r="G123" i="2"/>
  <c r="G111" i="2"/>
  <c r="G99" i="2"/>
  <c r="G87" i="2"/>
  <c r="G75" i="2"/>
  <c r="G63" i="2"/>
  <c r="G51" i="2"/>
  <c r="G39" i="2"/>
  <c r="G27" i="2"/>
  <c r="G15" i="2"/>
  <c r="G3" i="2"/>
  <c r="I115" i="2"/>
  <c r="I103" i="2"/>
  <c r="I91" i="2"/>
  <c r="I79" i="2"/>
  <c r="I67" i="2"/>
  <c r="I55" i="2"/>
  <c r="I43" i="2"/>
  <c r="I31" i="2"/>
  <c r="I19" i="2"/>
  <c r="I7" i="2"/>
  <c r="H122" i="2"/>
  <c r="H116" i="2"/>
  <c r="H110" i="2"/>
  <c r="H104" i="2"/>
  <c r="H98" i="2"/>
  <c r="H92" i="2"/>
  <c r="H86" i="2"/>
  <c r="H80" i="2"/>
  <c r="H74" i="2"/>
  <c r="H68" i="2"/>
  <c r="H62" i="2"/>
  <c r="H56" i="2"/>
  <c r="H50" i="2"/>
  <c r="H44" i="2"/>
  <c r="H38" i="2"/>
  <c r="H32" i="2"/>
  <c r="H26" i="2"/>
  <c r="H20" i="2"/>
  <c r="H14" i="2"/>
  <c r="H8" i="2"/>
  <c r="H121" i="2"/>
  <c r="H115" i="2"/>
  <c r="H109" i="2"/>
  <c r="H103" i="2"/>
  <c r="H97" i="2"/>
  <c r="H91" i="2"/>
  <c r="H85" i="2"/>
  <c r="H79" i="2"/>
  <c r="H73" i="2"/>
  <c r="H67" i="2"/>
  <c r="H61" i="2"/>
  <c r="H55" i="2"/>
  <c r="H49" i="2"/>
  <c r="H43" i="2"/>
  <c r="H37" i="2"/>
  <c r="H31" i="2"/>
  <c r="H25" i="2"/>
  <c r="H19" i="2"/>
  <c r="H13" i="2"/>
  <c r="H7" i="2"/>
  <c r="A74" i="7"/>
  <c r="A81" i="7"/>
  <c r="A88" i="7"/>
  <c r="A11" i="7"/>
  <c r="A89" i="7"/>
  <c r="A106" i="7"/>
  <c r="A44" i="7"/>
  <c r="A20" i="7"/>
  <c r="A9" i="7"/>
  <c r="A38" i="7"/>
  <c r="A72" i="7"/>
  <c r="A98" i="7"/>
  <c r="A60" i="7"/>
  <c r="A57" i="7"/>
  <c r="A95" i="7"/>
  <c r="A65" i="7"/>
  <c r="A39" i="7"/>
  <c r="A54" i="7"/>
  <c r="A18" i="7"/>
  <c r="A6" i="7"/>
  <c r="A52" i="7"/>
  <c r="A79" i="7"/>
  <c r="A23" i="7"/>
  <c r="A94" i="7"/>
  <c r="A30" i="7"/>
  <c r="A46" i="7"/>
  <c r="A84" i="7"/>
  <c r="A41" i="7"/>
  <c r="A19" i="7"/>
  <c r="A28" i="7"/>
  <c r="A105" i="7"/>
  <c r="A101" i="7"/>
  <c r="A29" i="7"/>
  <c r="A58" i="7"/>
  <c r="A87" i="7"/>
  <c r="A96" i="7"/>
  <c r="A80" i="7"/>
  <c r="A104" i="7"/>
  <c r="A85" i="7"/>
  <c r="A69" i="7"/>
  <c r="A62" i="7"/>
  <c r="A55" i="7"/>
  <c r="A70" i="7"/>
  <c r="A75" i="7"/>
  <c r="A100" i="7"/>
  <c r="A73" i="7"/>
  <c r="A15" i="7"/>
  <c r="A49" i="7"/>
  <c r="A91" i="7"/>
  <c r="A31" i="7"/>
  <c r="A45" i="7"/>
  <c r="A26" i="7"/>
  <c r="A66" i="7"/>
  <c r="A76" i="7"/>
  <c r="A36" i="7"/>
  <c r="A67" i="7"/>
  <c r="A25" i="7"/>
  <c r="A4" i="7"/>
  <c r="A86" i="7"/>
  <c r="A34" i="7"/>
  <c r="A61" i="7"/>
  <c r="A8" i="7"/>
  <c r="A7" i="7"/>
  <c r="A82" i="7"/>
  <c r="A21" i="7"/>
  <c r="A92" i="7"/>
  <c r="A47" i="7"/>
  <c r="A71" i="7"/>
  <c r="A90" i="7"/>
  <c r="A2" i="7"/>
  <c r="A102" i="7"/>
  <c r="A12" i="7"/>
  <c r="A64" i="7"/>
  <c r="A35" i="7"/>
  <c r="A40" i="7"/>
  <c r="A77" i="7"/>
  <c r="A32" i="7"/>
  <c r="A48" i="7"/>
  <c r="A24" i="7"/>
  <c r="A14" i="7"/>
  <c r="A17" i="7"/>
  <c r="A10" i="7"/>
  <c r="A63" i="7"/>
  <c r="A93" i="7"/>
  <c r="A83" i="7"/>
  <c r="A78" i="7"/>
  <c r="A33" i="7"/>
  <c r="A99" i="7"/>
  <c r="A27" i="7"/>
  <c r="A50" i="7"/>
  <c r="A51" i="7"/>
  <c r="A37" i="7"/>
  <c r="A43" i="7"/>
  <c r="A16" i="7"/>
  <c r="A3" i="7"/>
  <c r="A42" i="7"/>
  <c r="A68" i="7"/>
  <c r="A13" i="7"/>
  <c r="A53" i="7"/>
  <c r="E3" i="2" l="1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2" i="2"/>
  <c r="F2" i="2" s="1"/>
</calcChain>
</file>

<file path=xl/sharedStrings.xml><?xml version="1.0" encoding="utf-8"?>
<sst xmlns="http://schemas.openxmlformats.org/spreadsheetml/2006/main" count="3673" uniqueCount="588">
  <si>
    <t>Country</t>
  </si>
  <si>
    <t>Aruba</t>
  </si>
  <si>
    <t>Afghanistan</t>
  </si>
  <si>
    <t>Angola</t>
  </si>
  <si>
    <t>Anguilla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</si>
  <si>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</si>
  <si>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</si>
  <si>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</si>
  <si>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</si>
  <si>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</si>
  <si>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</si>
  <si>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</si>
  <si>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</si>
  <si>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</si>
  <si>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</si>
  <si>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</si>
  <si>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</si>
  <si>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</si>
  <si>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</si>
  <si>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</si>
  <si>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</si>
  <si>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</si>
  <si>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</si>
  <si>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</si>
  <si>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</si>
  <si>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</si>
  <si>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</si>
  <si>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</si>
  <si>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</si>
  <si>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</si>
  <si>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</si>
  <si>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</si>
  <si>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</si>
  <si>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</si>
  <si>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China, P.R.: Mainland</t>
  </si>
  <si>
    <t>Cote d'Ivoire</t>
  </si>
  <si>
    <t>Cameroon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</si>
  <si>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</si>
  <si>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</si>
  <si>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</si>
  <si>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</si>
  <si>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</si>
  <si>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</si>
  <si>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</si>
  <si>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</si>
  <si>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</si>
  <si>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</si>
  <si>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</si>
  <si>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</si>
  <si>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</si>
  <si>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</si>
  <si>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Eritrea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</si>
  <si>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</si>
  <si>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</si>
  <si>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</si>
  <si>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</si>
  <si>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</si>
  <si>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</si>
  <si>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</si>
  <si>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</si>
  <si>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</si>
  <si>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</si>
  <si>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</si>
  <si>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</si>
  <si>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</si>
  <si>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</si>
  <si>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</si>
  <si>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</si>
  <si>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</si>
  <si>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</si>
  <si>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</si>
  <si>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</si>
  <si>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</si>
  <si>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</si>
  <si>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</si>
  <si>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</si>
  <si>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</si>
  <si>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</si>
  <si>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</si>
  <si>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</si>
  <si>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</si>
  <si>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</si>
  <si>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</si>
  <si>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</si>
  <si>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</si>
  <si>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</si>
  <si>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Cambodia</t>
  </si>
  <si>
    <t>Kiribati</t>
  </si>
  <si>
    <t>Korea, Republic of</t>
  </si>
  <si>
    <t>Kosovo</t>
  </si>
  <si>
    <t>Kuwait</t>
  </si>
  <si>
    <t>Lebanon</t>
  </si>
  <si>
    <t>Liberia</t>
  </si>
  <si>
    <t>Libya</t>
  </si>
  <si>
    <t>Liechtenstein</t>
  </si>
  <si>
    <t>Sri Lanka</t>
  </si>
  <si>
    <t>Lesotho</t>
  </si>
  <si>
    <t>Lithuania</t>
  </si>
  <si>
    <t>Luxembourg</t>
  </si>
  <si>
    <t>Latvia</t>
  </si>
  <si>
    <t>Morocco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</si>
  <si>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</si>
  <si>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</si>
  <si>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</si>
  <si>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</si>
  <si>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</si>
  <si>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</si>
  <si>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</si>
  <si>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</si>
  <si>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</si>
  <si>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</si>
  <si>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</si>
  <si>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</si>
  <si>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</si>
  <si>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</si>
  <si>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</si>
  <si>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</si>
  <si>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</si>
  <si>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</si>
  <si>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</si>
  <si>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</si>
  <si>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</si>
  <si>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</si>
  <si>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</si>
  <si>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</si>
  <si>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</si>
  <si>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</si>
  <si>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</si>
  <si>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</si>
  <si>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</si>
  <si>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</si>
  <si>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</si>
  <si>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</si>
  <si>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</si>
  <si>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</si>
  <si>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</si>
  <si>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</si>
  <si>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</si>
  <si>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</si>
  <si>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</si>
  <si>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</si>
  <si>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</si>
  <si>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</si>
  <si>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</si>
  <si>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</si>
  <si>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</si>
  <si>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</si>
  <si>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</si>
  <si>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</si>
  <si>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</si>
  <si>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</si>
  <si>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</si>
  <si>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</si>
  <si>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</si>
  <si>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</si>
  <si>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</si>
  <si>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</si>
  <si>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</si>
  <si>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</si>
  <si>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</si>
  <si>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</si>
  <si>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</si>
  <si>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</si>
  <si>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</si>
  <si>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</si>
  <si>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</si>
  <si>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</si>
  <si>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</si>
  <si>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Tanzania</t>
  </si>
  <si>
    <t>Uganda</t>
  </si>
  <si>
    <t>Ukraine</t>
  </si>
  <si>
    <t>Uruguay</t>
  </si>
  <si>
    <t>United States</t>
  </si>
  <si>
    <t>Uzbekistan</t>
  </si>
  <si>
    <t>Vietnam</t>
  </si>
  <si>
    <t>Vanuatu</t>
  </si>
  <si>
    <t>West Bank and Gaza</t>
  </si>
  <si>
    <t>Samoa</t>
  </si>
  <si>
    <t>South Africa</t>
  </si>
  <si>
    <t>Zambia</t>
  </si>
  <si>
    <t>Zimbabwe</t>
  </si>
  <si>
    <t>Year</t>
  </si>
  <si>
    <t>Country Name</t>
  </si>
  <si>
    <t>Africa Eastern and Southern</t>
  </si>
  <si>
    <t>Africa Western and Central</t>
  </si>
  <si>
    <t>Andorra</t>
  </si>
  <si>
    <t>Arab World</t>
  </si>
  <si>
    <t>American Samoa</t>
  </si>
  <si>
    <t>Bermuda</t>
  </si>
  <si>
    <t>Central Europe and the Baltics</t>
  </si>
  <si>
    <t>Channel Islands</t>
  </si>
  <si>
    <t>China</t>
  </si>
  <si>
    <t>Congo, Dem. Rep.</t>
  </si>
  <si>
    <t>Congo, Rep.</t>
  </si>
  <si>
    <t>Caribbean small states</t>
  </si>
  <si>
    <t>Curacao</t>
  </si>
  <si>
    <t>Cayman Islands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</si>
  <si>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</si>
  <si>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</si>
  <si>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</si>
  <si>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</si>
  <si>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</si>
  <si>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Egypt, Arab Rep.</t>
  </si>
  <si>
    <t>Euro area</t>
  </si>
  <si>
    <t>European Union</t>
  </si>
  <si>
    <t>Fragile and conflict affected situations</t>
  </si>
  <si>
    <t>Faroe Islands</t>
  </si>
  <si>
    <t>Micronesia, Fed. Sts.</t>
  </si>
  <si>
    <t>Gibraltar</t>
  </si>
  <si>
    <t>Greenland</t>
  </si>
  <si>
    <t>Guam</t>
  </si>
  <si>
    <t>High income</t>
  </si>
  <si>
    <t>Hong Kong SAR, China</t>
  </si>
  <si>
    <t>Heavily indebted poor countries (HIPC)</t>
  </si>
  <si>
    <t>IBRD only</t>
  </si>
  <si>
    <t>IDA &amp; IBRD total</t>
  </si>
  <si>
    <t>IDA total</t>
  </si>
  <si>
    <t>IDA blend</t>
  </si>
  <si>
    <t>IDA only</t>
  </si>
  <si>
    <t>Isle of Man</t>
  </si>
  <si>
    <t>Not classified</t>
  </si>
  <si>
    <t>Iran, Islamic Rep.</t>
  </si>
  <si>
    <t>Kyrgyz Republic</t>
  </si>
  <si>
    <t>St. Kitts and Nevis</t>
  </si>
  <si>
    <t>Korea, Rep.</t>
  </si>
  <si>
    <t>Latin America &amp; Caribbean (excluding high income)</t>
  </si>
  <si>
    <t>Lao PDR</t>
  </si>
  <si>
    <t>St. Lucia</t>
  </si>
  <si>
    <t>Latin America &amp; Caribbean</t>
  </si>
  <si>
    <t>Least developed countries: UN classification</t>
  </si>
  <si>
    <t>Low income</t>
  </si>
  <si>
    <t>Lower middle income</t>
  </si>
  <si>
    <t>Low &amp; middle income</t>
  </si>
  <si>
    <t>Late-demographic dividend</t>
  </si>
  <si>
    <t>Macao SAR, China</t>
  </si>
  <si>
    <t>St. Martin (French part)</t>
  </si>
  <si>
    <t>Monaco</t>
  </si>
  <si>
    <t>Moldova</t>
  </si>
  <si>
    <t>Middle East &amp; North Africa</t>
  </si>
  <si>
    <t>Middle income</t>
  </si>
  <si>
    <t>Middle East &amp; North Africa (excluding high income)</t>
  </si>
  <si>
    <t>Northern Mariana Islands</t>
  </si>
  <si>
    <t>North America</t>
  </si>
  <si>
    <t>New Caledonia</t>
  </si>
  <si>
    <t>OECD members</t>
  </si>
  <si>
    <t>Other small states</t>
  </si>
  <si>
    <t>Pre-demographic dividend</t>
  </si>
  <si>
    <t>Puerto Rico</t>
  </si>
  <si>
    <t>Korea, Dem. People's Rep.</t>
  </si>
  <si>
    <t>Pacific island small states</t>
  </si>
  <si>
    <t>Post-demographic dividend</t>
  </si>
  <si>
    <t>French Polynesia</t>
  </si>
  <si>
    <t>South Asia</t>
  </si>
  <si>
    <t>Sub-Saharan Africa (excluding high income)</t>
  </si>
  <si>
    <t>Sub-Saharan Africa</t>
  </si>
  <si>
    <t>Small states</t>
  </si>
  <si>
    <t>Slovak Republic</t>
  </si>
  <si>
    <t>Sint Maarten (Dutch part)</t>
  </si>
  <si>
    <t>Turks and Caicos Islands</t>
  </si>
  <si>
    <t>East Asia &amp; Pacific (IDA &amp; IBRD countries)</t>
  </si>
  <si>
    <t>Europe &amp; Central Asia (IDA &amp; IBRD countries)</t>
  </si>
  <si>
    <t>Latin America &amp; the Caribbean (IDA &amp; IBRD countries)</t>
  </si>
  <si>
    <t>Middle East &amp; North Africa (IDA &amp; IBRD countries)</t>
  </si>
  <si>
    <t>South Asia (IDA &amp; IBRD)</t>
  </si>
  <si>
    <t>Sub-Saharan Africa (IDA &amp; IBRD countries)</t>
  </si>
  <si>
    <t>Upper middle income</t>
  </si>
  <si>
    <t>St. Vincent and the Grenadines</t>
  </si>
  <si>
    <t>Venezuela, RB</t>
  </si>
  <si>
    <t>British Virgin Islands</t>
  </si>
  <si>
    <t>Virgin Islands (U.S.)</t>
  </si>
  <si>
    <t>Viet Nam</t>
  </si>
  <si>
    <t>World</t>
  </si>
  <si>
    <t>Yemen, Rep.</t>
  </si>
  <si>
    <t>Country Code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</si>
  <si>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</si>
  <si>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</si>
  <si>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</si>
  <si>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</si>
  <si>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</si>
  <si>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</si>
  <si>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</si>
  <si>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</si>
  <si>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</si>
  <si>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</si>
  <si>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</si>
  <si>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</si>
  <si>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</si>
  <si>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</si>
  <si>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</si>
  <si>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</si>
  <si>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</si>
  <si>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</si>
  <si>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</si>
  <si>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</si>
  <si>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</si>
  <si>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</si>
  <si>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</si>
  <si>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</si>
  <si>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</si>
  <si>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</si>
  <si>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</si>
  <si>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</si>
  <si>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</si>
  <si>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</si>
  <si>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</si>
  <si>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</si>
  <si>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</si>
  <si>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</si>
  <si>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</si>
  <si>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</si>
  <si>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</si>
  <si>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</si>
  <si>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</si>
  <si>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</si>
  <si>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</si>
  <si>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</si>
  <si>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</si>
  <si>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</si>
  <si>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</si>
  <si>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</si>
  <si>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</si>
  <si>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</si>
  <si>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</si>
  <si>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</si>
  <si>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</si>
  <si>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</si>
  <si>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</si>
  <si>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</si>
  <si>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</si>
  <si>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</si>
  <si>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</si>
  <si>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</si>
  <si>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</si>
  <si>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</si>
  <si>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</si>
  <si>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</si>
  <si>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</si>
  <si>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</si>
  <si>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</si>
  <si>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</si>
  <si>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</si>
  <si>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</si>
  <si>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</si>
  <si>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</si>
  <si>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</si>
  <si>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</si>
  <si>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</si>
  <si>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</si>
  <si>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</si>
  <si>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</si>
  <si>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</si>
  <si>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</si>
  <si>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</si>
  <si>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</si>
  <si>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</si>
  <si>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</si>
  <si>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</si>
  <si>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</si>
  <si>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</si>
  <si>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</si>
  <si>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</si>
  <si>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</si>
  <si>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</si>
  <si>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</si>
  <si>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</si>
  <si>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</si>
  <si>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</si>
  <si>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</si>
  <si>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</si>
  <si>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</si>
  <si>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</si>
  <si>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</si>
  <si>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</si>
  <si>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</si>
  <si>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</si>
  <si>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</si>
  <si>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</si>
  <si>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</si>
  <si>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</si>
  <si>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</si>
  <si>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</si>
  <si>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</si>
  <si>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</si>
  <si>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</si>
  <si>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</si>
  <si>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</si>
  <si>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</si>
  <si>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</si>
  <si>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</si>
  <si>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</si>
  <si>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</si>
  <si>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</si>
  <si>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</si>
  <si>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</si>
  <si>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</si>
  <si>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</si>
  <si>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</si>
  <si>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</si>
  <si>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</si>
  <si>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</si>
  <si>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</si>
  <si>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</si>
  <si>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</si>
  <si>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</si>
  <si>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</si>
  <si>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</si>
  <si>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</si>
  <si>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</si>
  <si>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</si>
  <si>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</si>
  <si>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</si>
  <si>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</si>
  <si>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</si>
  <si>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</si>
  <si>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</si>
  <si>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</si>
  <si>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</si>
  <si>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</si>
  <si>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</si>
  <si>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</si>
  <si>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</si>
  <si>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</si>
  <si>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</si>
  <si>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</si>
  <si>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</si>
  <si>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</si>
  <si>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</si>
  <si>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</si>
  <si>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</si>
  <si>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</si>
  <si>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</si>
  <si>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</si>
  <si>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</si>
  <si>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</si>
  <si>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</si>
  <si>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</si>
  <si>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</si>
  <si>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</si>
  <si>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</si>
  <si>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</si>
  <si>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</si>
  <si>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</si>
  <si>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</si>
  <si>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</si>
  <si>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</si>
  <si>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</si>
  <si>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</si>
  <si>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</si>
  <si>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</si>
  <si>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</si>
  <si>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</si>
  <si>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</si>
  <si>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</si>
  <si>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</si>
  <si>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</si>
  <si>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</si>
  <si>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</si>
  <si>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</si>
  <si>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</si>
  <si>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</si>
  <si>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</si>
  <si>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</si>
  <si>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</si>
  <si>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</si>
  <si>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</si>
  <si>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</si>
  <si>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</si>
  <si>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</si>
  <si>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</si>
  <si>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</si>
  <si>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</si>
  <si>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</si>
  <si>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</si>
  <si>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</si>
  <si>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</si>
  <si>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</si>
  <si>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</si>
  <si>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</si>
  <si>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</si>
  <si>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</si>
  <si>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</si>
  <si>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</si>
  <si>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</si>
  <si>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</si>
  <si>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</si>
  <si>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</si>
  <si>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</si>
  <si>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</si>
  <si>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</si>
  <si>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</si>
  <si>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</si>
  <si>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</si>
  <si>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</si>
  <si>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</si>
  <si>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</si>
  <si>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</si>
  <si>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</si>
  <si>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</si>
  <si>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</si>
  <si>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</si>
  <si>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</si>
  <si>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</si>
  <si>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</si>
  <si>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</si>
  <si>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</si>
  <si>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</si>
  <si>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</si>
  <si>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</si>
  <si>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</si>
  <si>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</si>
  <si>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</si>
  <si>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</si>
  <si>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</si>
  <si>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</si>
  <si>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</si>
  <si>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</si>
  <si>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</si>
  <si>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</si>
  <si>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</si>
  <si>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</si>
  <si>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</si>
  <si>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</si>
  <si>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</si>
  <si>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</si>
  <si>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</si>
  <si>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</si>
  <si>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</si>
  <si>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</si>
  <si>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</si>
  <si>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</si>
  <si>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</si>
  <si>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</si>
  <si>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</si>
  <si>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</si>
  <si>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</si>
  <si>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</si>
  <si>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</si>
  <si>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</si>
  <si>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</si>
  <si>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</si>
  <si>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GDP_2019</t>
  </si>
  <si>
    <t>Country_Code</t>
  </si>
  <si>
    <t>Country_Name</t>
  </si>
  <si>
    <t>Region_Code</t>
  </si>
  <si>
    <t>Region_Desc</t>
  </si>
  <si>
    <t>Income_Group</t>
  </si>
  <si>
    <t>Resource_Rich</t>
  </si>
  <si>
    <t>Oil_Gas_Rich</t>
  </si>
  <si>
    <t>Small_State</t>
  </si>
  <si>
    <t>Small_Island_State</t>
  </si>
  <si>
    <t>SA</t>
  </si>
  <si>
    <t>Low Income</t>
  </si>
  <si>
    <t>NO</t>
  </si>
  <si>
    <t>Eastern Europe &amp; Central Asia</t>
  </si>
  <si>
    <t>Upper Middle Income</t>
  </si>
  <si>
    <t>MENA</t>
  </si>
  <si>
    <t>YES</t>
  </si>
  <si>
    <t>ADO</t>
  </si>
  <si>
    <t>WER</t>
  </si>
  <si>
    <t>Western Europe</t>
  </si>
  <si>
    <t>High Income</t>
  </si>
  <si>
    <t>AIA</t>
  </si>
  <si>
    <t>Latin America &amp; the Caribbean</t>
  </si>
  <si>
    <t>Lower Middle Income</t>
  </si>
  <si>
    <t>Cape Verde</t>
  </si>
  <si>
    <t>Czech Republic</t>
  </si>
  <si>
    <t>Faeroe Islands</t>
  </si>
  <si>
    <t>IMY</t>
  </si>
  <si>
    <t>Korea, Dem. Rep.</t>
  </si>
  <si>
    <t>MYT</t>
  </si>
  <si>
    <t>Mayotte</t>
  </si>
  <si>
    <t>ANT</t>
  </si>
  <si>
    <t>Netherlands Antilles</t>
  </si>
  <si>
    <t>TWN</t>
  </si>
  <si>
    <t>Taiwan, China</t>
  </si>
  <si>
    <t>Turkey</t>
  </si>
  <si>
    <t>WBG</t>
  </si>
  <si>
    <t>MSR</t>
  </si>
  <si>
    <t>Montserrat</t>
  </si>
  <si>
    <t>House_Cons_2019</t>
  </si>
  <si>
    <t>GDP_LCU</t>
  </si>
  <si>
    <t>C</t>
  </si>
  <si>
    <t>G</t>
  </si>
  <si>
    <t>VAT Rate</t>
  </si>
  <si>
    <t>Gov_Cons_2020</t>
  </si>
  <si>
    <t/>
  </si>
  <si>
    <t>VAT Collection (% of GDP)</t>
  </si>
  <si>
    <t>VAT Collection (LCU)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</si>
</sst>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2F7F3A1-9201-480F-8F5C-95D2DB0D77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A993-4D94-41F0-9A5C-DEE9A46EF982}">
  <dimension ref="A1:I125"/>
  <sheetViews>
    <sheetView tabSelected="1" workbookViewId="0">
      <selection activeCell="E6" sqref="E6"/>
    </sheetView>
  </sheetViews>
  <sheetFormatPr defaultRowHeight="14.5" x14ac:dyDescent="0.35"/>
  <cols>
    <col min="1" max="1" width="18.54296875" style="7" customWidth="1"/>
    <col min="2" max="2" width="14.453125" style="3" bestFit="1" customWidth="1"/>
    <col min="3" max="3" width="8.7265625" style="3"/>
    <col min="4" max="4" width="14" style="4" customWidth="1"/>
    <col min="5" max="5" width="19" style="4" bestFit="1" customWidth="1"/>
    <col min="6" max="6" width="13.453125" style="3" customWidth="1"/>
    <col min="7" max="7" width="11.81640625" style="3" bestFit="1" customWidth="1"/>
    <col min="8" max="8" width="10.81640625" style="3" bestFit="1" customWidth="1"/>
    <col min="9" max="9" width="10.81640625" style="3" customWidth="1"/>
  </cols>
  <sheetData>
    <row r="1" spans="1:9" s="1" customFormat="1" ht="29" x14ac:dyDescent="0.35">
      <c r="A1" s="6" t="s">
        <v>0</v>
      </c>
      <c r="B1" s="1" t="s">
        <v>273</v>
      </c>
      <c r="C1" s="1" t="s">
        <v>181</v>
      </c>
      <c r="D1" s="2" t="s">
        <v>586</v>
      </c>
      <c r="E1" s="2" t="s">
        <v>580</v>
      </c>
      <c r="F1" s="1" t="s">
        <v>587</v>
      </c>
      <c r="G1" s="1" t="s">
        <v>581</v>
      </c>
      <c r="H1" s="1" t="s">
        <v>582</v>
      </c>
      <c r="I1" s="1" t="s">
        <v>583</v>
      </c>
    </row>
    <row r="2" spans="1:9" x14ac:dyDescent="0.35">
      <c r="A2" s="7" t="s">
        <v>5</v>
      </c>
      <c r="B2" s="3" t="str">
        <f>VLOOKUP(A2,GDP_LCU!A:B,2,FALSE)</f>
        <v>ALB</v>
      </c>
      <c r="C2" s="3">
        <v>2019</v>
      </c>
      <c r="D2" s="4">
        <v>7.8262004382047903E-2</v>
      </c>
      <c r="E2" s="5">
        <f>VLOOKUP(A2,GDP_LCU!A:C,3,FALSE)</f>
        <v>1691903429800</v>
      </c>
      <c r="F2" s="3">
        <f>D2*E2</f>
        <v>132411753637.00948</v>
      </c>
      <c r="G2" s="3">
        <f>IFERROR(VLOOKUP(B2,'C'!B:C,2,FALSE),"")</f>
        <v>1353526016200</v>
      </c>
      <c r="H2" s="3">
        <f>IFERROR(VLOOKUP(B2,G!B:C,2,FALSE),"")</f>
        <v>191980010300</v>
      </c>
      <c r="I2" s="3">
        <f>IFERROR(VLOOKUP(B2,'VAT Rates'!B:C,2,FALSE),"")</f>
        <v>20</v>
      </c>
    </row>
    <row r="3" spans="1:9" x14ac:dyDescent="0.35">
      <c r="A3" s="7" t="s">
        <v>9</v>
      </c>
      <c r="B3" s="3" t="str">
        <f>VLOOKUP(A3,GDP_LCU!A:B,2,FALSE)</f>
        <v>ATG</v>
      </c>
      <c r="C3" s="3">
        <v>2019</v>
      </c>
      <c r="D3" s="4">
        <v>5.5432396839332751E-2</v>
      </c>
      <c r="E3" s="5">
        <f>VLOOKUP(A3,GDP_LCU!A:C,3,FALSE)</f>
        <v>4658450000.00002</v>
      </c>
      <c r="F3" s="3">
        <f t="shared" ref="F3:F66" si="0">D3*E3</f>
        <v>258229049.05619076</v>
      </c>
      <c r="G3" s="3" t="str">
        <f>IFERROR(VLOOKUP(B3,'C'!B:C,2,FALSE),"")</f>
        <v/>
      </c>
      <c r="H3" s="3" t="str">
        <f>IFERROR(VLOOKUP(B3,G!B:C,2,FALSE),"")</f>
        <v/>
      </c>
      <c r="I3" s="3">
        <f>IFERROR(VLOOKUP(B3,'VAT Rates'!B:C,2,FALSE),"")</f>
        <v>15</v>
      </c>
    </row>
    <row r="4" spans="1:9" x14ac:dyDescent="0.35">
      <c r="A4" s="7" t="s">
        <v>7</v>
      </c>
      <c r="B4" s="3" t="str">
        <f>VLOOKUP(A4,GDP_LCU!A:B,2,FALSE)</f>
        <v>ARG</v>
      </c>
      <c r="C4" s="3">
        <v>2019</v>
      </c>
      <c r="D4" s="4">
        <v>7.0295334345216384E-2</v>
      </c>
      <c r="E4" s="5">
        <f>VLOOKUP(A4,GDP_LCU!A:C,3,FALSE)</f>
        <v>21558444149200</v>
      </c>
      <c r="F4" s="3">
        <f t="shared" si="0"/>
        <v>1515458039430.688</v>
      </c>
      <c r="G4" s="3">
        <f>IFERROR(VLOOKUP(B4,'C'!B:C,2,FALSE),"")</f>
        <v>14256078760800</v>
      </c>
      <c r="H4" s="3">
        <f>IFERROR(VLOOKUP(B4,G!B:C,2,FALSE),"")</f>
        <v>3544907053700</v>
      </c>
      <c r="I4" s="3">
        <f>IFERROR(VLOOKUP(B4,'VAT Rates'!B:C,2,FALSE),"")</f>
        <v>21</v>
      </c>
    </row>
    <row r="5" spans="1:9" x14ac:dyDescent="0.35">
      <c r="A5" s="7" t="s">
        <v>8</v>
      </c>
      <c r="B5" s="3" t="str">
        <f>VLOOKUP(A5,GDP_LCU!A:B,2,FALSE)</f>
        <v>ARM</v>
      </c>
      <c r="C5" s="3">
        <v>2019</v>
      </c>
      <c r="D5" s="4">
        <v>7.2494584515021582E-2</v>
      </c>
      <c r="E5" s="5">
        <f>VLOOKUP(A5,GDP_LCU!A:C,3,FALSE)</f>
        <v>6543321799999.9805</v>
      </c>
      <c r="F5" s="3">
        <f t="shared" si="0"/>
        <v>474355395239.08173</v>
      </c>
      <c r="G5" s="3">
        <f>IFERROR(VLOOKUP(B5,'C'!B:C,2,FALSE),"")</f>
        <v>5459712499999.9902</v>
      </c>
      <c r="H5" s="3">
        <f>IFERROR(VLOOKUP(B5,G!B:C,2,FALSE),"")</f>
        <v>822139600000</v>
      </c>
      <c r="I5" s="3">
        <f>IFERROR(VLOOKUP(B5,'VAT Rates'!B:C,2,FALSE),"")</f>
        <v>20</v>
      </c>
    </row>
    <row r="6" spans="1:9" x14ac:dyDescent="0.35">
      <c r="A6" s="7" t="s">
        <v>1</v>
      </c>
      <c r="B6" s="3" t="str">
        <f>VLOOKUP(A6,GDP_LCU!A:B,2,FALSE)</f>
        <v>ABW</v>
      </c>
      <c r="C6" s="3">
        <v>2019</v>
      </c>
      <c r="D6" s="4">
        <v>3.5820895522388062E-2</v>
      </c>
      <c r="E6" s="5">
        <f>VLOOKUP(A6,GDP_LCU!A:C,3,FALSE)</f>
        <v>6078480000</v>
      </c>
      <c r="F6" s="3">
        <f t="shared" si="0"/>
        <v>217736597.01492539</v>
      </c>
      <c r="G6" s="3">
        <f>IFERROR(VLOOKUP(B6,'C'!B:C,2,FALSE),"")</f>
        <v>3278570000</v>
      </c>
      <c r="H6" s="3">
        <f>IFERROR(VLOOKUP(B6,G!B:C,2,FALSE),"")</f>
        <v>1367570000</v>
      </c>
      <c r="I6" s="3" t="str">
        <f>IFERROR(VLOOKUP(B6,'VAT Rates'!B:C,2,FALSE),"")</f>
        <v/>
      </c>
    </row>
    <row r="7" spans="1:9" x14ac:dyDescent="0.35">
      <c r="A7" s="7" t="s">
        <v>10</v>
      </c>
      <c r="B7" s="3" t="str">
        <f>VLOOKUP(A7,GDP_LCU!A:B,2,FALSE)</f>
        <v>AUS</v>
      </c>
      <c r="C7" s="3">
        <v>2019</v>
      </c>
      <c r="D7" s="4">
        <v>3.2153223806478233E-2</v>
      </c>
      <c r="E7" s="5">
        <f>VLOOKUP(A7,GDP_LCU!A:C,3,FALSE)</f>
        <v>1950042000000</v>
      </c>
      <c r="F7" s="3">
        <f t="shared" si="0"/>
        <v>62700136858.032425</v>
      </c>
      <c r="G7" s="3">
        <f>IFERROR(VLOOKUP(B7,'C'!B:C,2,FALSE),"")</f>
        <v>1051491000000</v>
      </c>
      <c r="H7" s="3">
        <f>IFERROR(VLOOKUP(B7,G!B:C,2,FALSE),"")</f>
        <v>396695000000</v>
      </c>
      <c r="I7" s="3">
        <f>IFERROR(VLOOKUP(B7,'VAT Rates'!B:C,2,FALSE),"")</f>
        <v>10</v>
      </c>
    </row>
    <row r="8" spans="1:9" x14ac:dyDescent="0.35">
      <c r="A8" s="7" t="s">
        <v>11</v>
      </c>
      <c r="B8" s="3" t="str">
        <f>VLOOKUP(A8,GDP_LCU!A:B,2,FALSE)</f>
        <v>AUT</v>
      </c>
      <c r="C8" s="3">
        <v>2019</v>
      </c>
      <c r="D8" s="4">
        <v>7.6605814260895841E-2</v>
      </c>
      <c r="E8" s="5">
        <f>VLOOKUP(A8,GDP_LCU!A:C,3,FALSE)</f>
        <v>397147190000</v>
      </c>
      <c r="F8" s="3">
        <f t="shared" si="0"/>
        <v>30423783871.376709</v>
      </c>
      <c r="G8" s="3">
        <f>IFERROR(VLOOKUP(B8,'C'!B:C,2,FALSE),"")</f>
        <v>204754180000</v>
      </c>
      <c r="H8" s="3">
        <f>IFERROR(VLOOKUP(B8,G!B:C,2,FALSE),"")</f>
        <v>77286760000</v>
      </c>
      <c r="I8" s="3">
        <f>IFERROR(VLOOKUP(B8,'VAT Rates'!B:C,2,FALSE),"")</f>
        <v>20</v>
      </c>
    </row>
    <row r="9" spans="1:9" x14ac:dyDescent="0.35">
      <c r="A9" s="7" t="s">
        <v>12</v>
      </c>
      <c r="B9" s="3" t="str">
        <f>VLOOKUP(A9,GDP_LCU!A:B,2,FALSE)</f>
        <v>AZE</v>
      </c>
      <c r="C9" s="3">
        <v>2019</v>
      </c>
      <c r="D9" s="4">
        <v>6.3313226531210326E-2</v>
      </c>
      <c r="E9" s="5">
        <f>VLOOKUP(A9,GDP_LCU!A:C,3,FALSE)</f>
        <v>81896199999.999893</v>
      </c>
      <c r="F9" s="3">
        <f t="shared" si="0"/>
        <v>5185112662.6452999</v>
      </c>
      <c r="G9" s="3">
        <f>IFERROR(VLOOKUP(B9,'C'!B:C,2,FALSE),"")</f>
        <v>47095799999.999901</v>
      </c>
      <c r="H9" s="3">
        <f>IFERROR(VLOOKUP(B9,G!B:C,2,FALSE),"")</f>
        <v>9109700000</v>
      </c>
      <c r="I9" s="3" t="str">
        <f>IFERROR(VLOOKUP(B9,'VAT Rates'!B:C,2,FALSE),"")</f>
        <v/>
      </c>
    </row>
    <row r="10" spans="1:9" x14ac:dyDescent="0.35">
      <c r="A10" s="7" t="s">
        <v>20</v>
      </c>
      <c r="B10" s="3" t="str">
        <f>VLOOKUP(A10,GDP_LCU!A:B,2,FALSE)</f>
        <v>BHS</v>
      </c>
      <c r="C10" s="3">
        <v>2019</v>
      </c>
      <c r="D10" s="4">
        <v>6.7958008034563783E-2</v>
      </c>
      <c r="E10" s="5">
        <f>VLOOKUP(A10,GDP_LCU!A:C,3,FALSE)</f>
        <v>13016200000</v>
      </c>
      <c r="F10" s="3">
        <f t="shared" si="0"/>
        <v>884555024.17948914</v>
      </c>
      <c r="G10" s="3">
        <f>IFERROR(VLOOKUP(B10,'C'!B:C,2,FALSE),"")</f>
        <v>7976799999.9999704</v>
      </c>
      <c r="H10" s="3">
        <f>IFERROR(VLOOKUP(B10,G!B:C,2,FALSE),"")</f>
        <v>1636800000</v>
      </c>
      <c r="I10" s="3">
        <f>IFERROR(VLOOKUP(B10,'VAT Rates'!B:C,2,FALSE),"")</f>
        <v>12</v>
      </c>
    </row>
    <row r="11" spans="1:9" x14ac:dyDescent="0.35">
      <c r="A11" s="7" t="s">
        <v>19</v>
      </c>
      <c r="B11" s="3" t="str">
        <f>VLOOKUP(A11,GDP_LCU!A:B,2,FALSE)</f>
        <v>BHR</v>
      </c>
      <c r="C11" s="3">
        <v>2019</v>
      </c>
      <c r="D11" s="4">
        <v>1.7912402986101555E-2</v>
      </c>
      <c r="E11" s="5">
        <f>VLOOKUP(A11,GDP_LCU!A:C,3,FALSE)</f>
        <v>14533647600</v>
      </c>
      <c r="F11" s="3">
        <f t="shared" si="0"/>
        <v>260332552.66918769</v>
      </c>
      <c r="G11" s="3">
        <f>IFERROR(VLOOKUP(B11,'C'!B:C,2,FALSE),"")</f>
        <v>5871899999.9999905</v>
      </c>
      <c r="H11" s="3">
        <f>IFERROR(VLOOKUP(B11,G!B:C,2,FALSE),"")</f>
        <v>2280320000</v>
      </c>
      <c r="I11" s="3">
        <f>IFERROR(VLOOKUP(B11,'VAT Rates'!B:C,2,FALSE),"")</f>
        <v>5</v>
      </c>
    </row>
    <row r="12" spans="1:9" x14ac:dyDescent="0.35">
      <c r="A12" s="7" t="s">
        <v>26</v>
      </c>
      <c r="B12" s="3" t="str">
        <f>VLOOKUP(A12,GDP_LCU!A:B,2,FALSE)</f>
        <v>BRB</v>
      </c>
      <c r="C12" s="3">
        <v>2019</v>
      </c>
      <c r="D12" s="4">
        <v>9.1260853152132879E-2</v>
      </c>
      <c r="E12" s="5">
        <f>VLOOKUP(A12,GDP_LCU!A:C,3,FALSE)</f>
        <v>10734278500</v>
      </c>
      <c r="F12" s="3">
        <f t="shared" si="0"/>
        <v>979619413.88259721</v>
      </c>
      <c r="G12" s="3">
        <f>IFERROR(VLOOKUP(B12,'C'!B:C,2,FALSE),"")</f>
        <v>7932154000</v>
      </c>
      <c r="H12" s="3">
        <f>IFERROR(VLOOKUP(B12,G!B:C,2,FALSE),"")</f>
        <v>1161351200</v>
      </c>
      <c r="I12" s="3">
        <f>IFERROR(VLOOKUP(B12,'VAT Rates'!B:C,2,FALSE),"")</f>
        <v>17.5</v>
      </c>
    </row>
    <row r="13" spans="1:9" x14ac:dyDescent="0.35">
      <c r="A13" s="7" t="s">
        <v>22</v>
      </c>
      <c r="B13" s="3" t="str">
        <f>VLOOKUP(A13,GDP_LCU!A:B,2,FALSE)</f>
        <v>BLR</v>
      </c>
      <c r="C13" s="3">
        <v>2019</v>
      </c>
      <c r="D13" s="4">
        <v>8.3566901096250326E-2</v>
      </c>
      <c r="E13" s="5">
        <f>VLOOKUP(A13,GDP_LCU!A:C,3,FALSE)</f>
        <v>134732000000</v>
      </c>
      <c r="F13" s="3">
        <f t="shared" si="0"/>
        <v>11259135718.499998</v>
      </c>
      <c r="G13" s="3">
        <f>IFERROR(VLOOKUP(B13,'C'!B:C,2,FALSE),"")</f>
        <v>72705999999.999893</v>
      </c>
      <c r="H13" s="3">
        <f>IFERROR(VLOOKUP(B13,G!B:C,2,FALSE),"")</f>
        <v>22693000000</v>
      </c>
      <c r="I13" s="3">
        <f>IFERROR(VLOOKUP(B13,'VAT Rates'!B:C,2,FALSE),"")</f>
        <v>20</v>
      </c>
    </row>
    <row r="14" spans="1:9" x14ac:dyDescent="0.35">
      <c r="A14" s="7" t="s">
        <v>14</v>
      </c>
      <c r="B14" s="3" t="str">
        <f>VLOOKUP(A14,GDP_LCU!A:B,2,FALSE)</f>
        <v>BEL</v>
      </c>
      <c r="C14" s="3">
        <v>2019</v>
      </c>
      <c r="D14" s="4">
        <v>6.7234173095404734E-2</v>
      </c>
      <c r="E14" s="5">
        <f>VLOOKUP(A14,GDP_LCU!A:C,3,FALSE)</f>
        <v>478676200000.00098</v>
      </c>
      <c r="F14" s="3">
        <f t="shared" si="0"/>
        <v>32183398487.450642</v>
      </c>
      <c r="G14" s="3">
        <f>IFERROR(VLOOKUP(B14,'C'!B:C,2,FALSE),"")</f>
        <v>245666800000</v>
      </c>
      <c r="H14" s="3">
        <f>IFERROR(VLOOKUP(B14,G!B:C,2,FALSE),"")</f>
        <v>110290600000</v>
      </c>
      <c r="I14" s="3">
        <f>IFERROR(VLOOKUP(B14,'VAT Rates'!B:C,2,FALSE),"")</f>
        <v>21</v>
      </c>
    </row>
    <row r="15" spans="1:9" x14ac:dyDescent="0.35">
      <c r="A15" s="7" t="s">
        <v>24</v>
      </c>
      <c r="B15" s="3" t="str">
        <f>VLOOKUP(A15,GDP_LCU!A:B,2,FALSE)</f>
        <v>BOL</v>
      </c>
      <c r="C15" s="3">
        <v>2019</v>
      </c>
      <c r="D15" s="4">
        <v>7.2158308768627014E-2</v>
      </c>
      <c r="E15" s="5">
        <f>VLOOKUP(A15,GDP_LCU!A:C,3,FALSE)</f>
        <v>282586680900</v>
      </c>
      <c r="F15" s="3">
        <f t="shared" si="0"/>
        <v>20390976974.283672</v>
      </c>
      <c r="G15" s="3">
        <f>IFERROR(VLOOKUP(B15,'C'!B:C,2,FALSE),"")</f>
        <v>193415547300</v>
      </c>
      <c r="H15" s="3">
        <f>IFERROR(VLOOKUP(B15,G!B:C,2,FALSE),"")</f>
        <v>51269961500</v>
      </c>
      <c r="I15" s="3">
        <f>IFERROR(VLOOKUP(B15,'VAT Rates'!B:C,2,FALSE),"")</f>
        <v>13</v>
      </c>
    </row>
    <row r="16" spans="1:9" x14ac:dyDescent="0.35">
      <c r="A16" s="7" t="s">
        <v>21</v>
      </c>
      <c r="B16" s="3" t="str">
        <f>VLOOKUP(A16,GDP_LCU!A:B,2,FALSE)</f>
        <v>BIH</v>
      </c>
      <c r="C16" s="3">
        <v>2019</v>
      </c>
      <c r="D16" s="4">
        <v>0.17489865262512225</v>
      </c>
      <c r="E16" s="5">
        <f>VLOOKUP(A16,GDP_LCU!A:C,3,FALSE)</f>
        <v>35784879000</v>
      </c>
      <c r="F16" s="3">
        <f t="shared" si="0"/>
        <v>6258727121.4530315</v>
      </c>
      <c r="G16" s="3">
        <f>IFERROR(VLOOKUP(B16,'C'!B:C,2,FALSE),"")</f>
        <v>25886036000</v>
      </c>
      <c r="H16" s="3">
        <f>IFERROR(VLOOKUP(B16,G!B:C,2,FALSE),"")</f>
        <v>6927584000</v>
      </c>
      <c r="I16" s="3">
        <f>IFERROR(VLOOKUP(B16,'VAT Rates'!B:C,2,FALSE),"")</f>
        <v>17</v>
      </c>
    </row>
    <row r="17" spans="1:9" x14ac:dyDescent="0.35">
      <c r="A17" s="7" t="s">
        <v>25</v>
      </c>
      <c r="B17" s="3" t="str">
        <f>VLOOKUP(A17,GDP_LCU!A:B,2,FALSE)</f>
        <v>BRA</v>
      </c>
      <c r="C17" s="3">
        <v>2019</v>
      </c>
      <c r="D17" s="4">
        <v>6.8862224800182864E-2</v>
      </c>
      <c r="E17" s="5">
        <f>VLOOKUP(A17,GDP_LCU!A:C,3,FALSE)</f>
        <v>7389131000000</v>
      </c>
      <c r="F17" s="3">
        <f t="shared" si="0"/>
        <v>508832000000</v>
      </c>
      <c r="G17" s="3">
        <f>IFERROR(VLOOKUP(B17,'C'!B:C,2,FALSE),"")</f>
        <v>4813579000700</v>
      </c>
      <c r="H17" s="3">
        <f>IFERROR(VLOOKUP(B17,G!B:C,2,FALSE),"")</f>
        <v>1476612999700</v>
      </c>
      <c r="I17" s="3">
        <f>IFERROR(VLOOKUP(B17,'VAT Rates'!B:C,2,FALSE),"")</f>
        <v>18</v>
      </c>
    </row>
    <row r="18" spans="1:9" x14ac:dyDescent="0.35">
      <c r="A18" s="7" t="s">
        <v>18</v>
      </c>
      <c r="B18" s="3" t="str">
        <f>VLOOKUP(A18,GDP_LCU!A:B,2,FALSE)</f>
        <v>BGR</v>
      </c>
      <c r="C18" s="3">
        <v>2019</v>
      </c>
      <c r="D18" s="4">
        <v>9.1873517392604409E-2</v>
      </c>
      <c r="E18" s="5">
        <f>VLOOKUP(A18,GDP_LCU!A:C,3,FALSE)</f>
        <v>120342013000</v>
      </c>
      <c r="F18" s="3">
        <f t="shared" si="0"/>
        <v>11056244024.416527</v>
      </c>
      <c r="G18" s="3">
        <f>IFERROR(VLOOKUP(B18,'C'!B:C,2,FALSE),"")</f>
        <v>71096587999.999802</v>
      </c>
      <c r="H18" s="3">
        <f>IFERROR(VLOOKUP(B18,G!B:C,2,FALSE),"")</f>
        <v>20111308000</v>
      </c>
      <c r="I18" s="3">
        <f>IFERROR(VLOOKUP(B18,'VAT Rates'!B:C,2,FALSE),"")</f>
        <v>20</v>
      </c>
    </row>
    <row r="19" spans="1:9" x14ac:dyDescent="0.35">
      <c r="A19" s="7" t="s">
        <v>16</v>
      </c>
      <c r="B19" s="3" t="str">
        <f>VLOOKUP(A19,GDP_LCU!A:B,2,FALSE)</f>
        <v>BFA</v>
      </c>
      <c r="C19" s="3">
        <v>2019</v>
      </c>
      <c r="D19" s="4">
        <v>5.6533034363413601E-2</v>
      </c>
      <c r="E19" s="5">
        <f>VLOOKUP(A19,GDP_LCU!A:C,3,FALSE)</f>
        <v>9393802000000.0098</v>
      </c>
      <c r="F19" s="3">
        <f t="shared" si="0"/>
        <v>531060131269.10394</v>
      </c>
      <c r="G19" s="3">
        <f>IFERROR(VLOOKUP(B19,'C'!B:C,2,FALSE),"")</f>
        <v>5789916000000.0098</v>
      </c>
      <c r="H19" s="3">
        <f>IFERROR(VLOOKUP(B19,G!B:C,2,FALSE),"")</f>
        <v>1925724000000</v>
      </c>
      <c r="I19" s="3" t="str">
        <f>IFERROR(VLOOKUP(B19,'VAT Rates'!B:C,2,FALSE),"")</f>
        <v/>
      </c>
    </row>
    <row r="20" spans="1:9" x14ac:dyDescent="0.35">
      <c r="A20" s="7" t="s">
        <v>39</v>
      </c>
      <c r="B20" s="3" t="str">
        <f>VLOOKUP(A20,GDP_LCU!A:B,2,FALSE)</f>
        <v>CPV</v>
      </c>
      <c r="C20" s="3">
        <v>2019</v>
      </c>
      <c r="D20" s="4">
        <v>7.0338728268058634E-2</v>
      </c>
      <c r="E20" s="5">
        <f>VLOOKUP(A20,GDP_LCU!A:C,3,FALSE)</f>
        <v>221828588999.99899</v>
      </c>
      <c r="F20" s="3">
        <f t="shared" si="0"/>
        <v>15603140843.75779</v>
      </c>
      <c r="G20" s="3">
        <f>IFERROR(VLOOKUP(B20,'C'!B:C,2,FALSE),"")</f>
        <v>148505697999.99899</v>
      </c>
      <c r="H20" s="3">
        <f>IFERROR(VLOOKUP(B20,G!B:C,2,FALSE),"")</f>
        <v>43954153000</v>
      </c>
      <c r="I20" s="3" t="str">
        <f>IFERROR(VLOOKUP(B20,'VAT Rates'!B:C,2,FALSE),"")</f>
        <v/>
      </c>
    </row>
    <row r="21" spans="1:9" x14ac:dyDescent="0.35">
      <c r="A21" s="7" t="s">
        <v>86</v>
      </c>
      <c r="B21" s="3" t="str">
        <f>VLOOKUP(A21,GDP_LCU!A:B,2,FALSE)</f>
        <v>KHM</v>
      </c>
      <c r="C21" s="3">
        <v>2019</v>
      </c>
      <c r="D21" s="4">
        <v>6.6110000909090902E-2</v>
      </c>
      <c r="E21" s="5">
        <f>VLOOKUP(A21,GDP_LCU!A:C,3,FALSE)</f>
        <v>110014048240000</v>
      </c>
      <c r="F21" s="3">
        <f t="shared" si="0"/>
        <v>7273028829159.1699</v>
      </c>
      <c r="G21" s="3">
        <f>IFERROR(VLOOKUP(B21,'C'!B:C,2,FALSE),"")</f>
        <v>76424804475000</v>
      </c>
      <c r="H21" s="3">
        <f>IFERROR(VLOOKUP(B21,G!B:C,2,FALSE),"")</f>
        <v>5288153330200</v>
      </c>
      <c r="I21" s="3">
        <f>IFERROR(VLOOKUP(B21,'VAT Rates'!B:C,2,FALSE),"")</f>
        <v>10</v>
      </c>
    </row>
    <row r="22" spans="1:9" x14ac:dyDescent="0.35">
      <c r="A22" s="7" t="s">
        <v>36</v>
      </c>
      <c r="B22" s="3" t="str">
        <f>VLOOKUP(A22,GDP_LCU!A:B,2,FALSE)</f>
        <v>CMR</v>
      </c>
      <c r="C22" s="3">
        <v>2019</v>
      </c>
      <c r="D22" s="4">
        <v>4.8974796871508457E-2</v>
      </c>
      <c r="E22" s="5">
        <f>VLOOKUP(A22,GDP_LCU!A:C,3,FALSE)</f>
        <v>23243662000000</v>
      </c>
      <c r="F22" s="3">
        <f t="shared" si="0"/>
        <v>1138353625000</v>
      </c>
      <c r="G22" s="3">
        <f>IFERROR(VLOOKUP(B22,'C'!B:C,2,FALSE),"")</f>
        <v>16885901000000</v>
      </c>
      <c r="H22" s="3">
        <f>IFERROR(VLOOKUP(B22,G!B:C,2,FALSE),"")</f>
        <v>2811635000000</v>
      </c>
      <c r="I22" s="3" t="str">
        <f>IFERROR(VLOOKUP(B22,'VAT Rates'!B:C,2,FALSE),"")</f>
        <v/>
      </c>
    </row>
    <row r="23" spans="1:9" x14ac:dyDescent="0.35">
      <c r="A23" s="7" t="s">
        <v>31</v>
      </c>
      <c r="B23" s="3" t="str">
        <f>VLOOKUP(A23,GDP_LCU!A:B,2,FALSE)</f>
        <v>CAN</v>
      </c>
      <c r="C23" s="3">
        <v>2019</v>
      </c>
      <c r="D23" s="4">
        <v>4.4698156047620057E-2</v>
      </c>
      <c r="E23" s="5">
        <f>VLOOKUP(A23,GDP_LCU!A:C,3,FALSE)</f>
        <v>2313563000000</v>
      </c>
      <c r="F23" s="3">
        <f t="shared" si="0"/>
        <v>103412000000</v>
      </c>
      <c r="G23" s="3">
        <f>IFERROR(VLOOKUP(B23,'C'!B:C,2,FALSE),"")</f>
        <v>1336188000000</v>
      </c>
      <c r="H23" s="3">
        <f>IFERROR(VLOOKUP(B23,G!B:C,2,FALSE),"")</f>
        <v>478063000000</v>
      </c>
      <c r="I23" s="3">
        <f>IFERROR(VLOOKUP(B23,'VAT Rates'!B:C,2,FALSE),"")</f>
        <v>5</v>
      </c>
    </row>
    <row r="24" spans="1:9" x14ac:dyDescent="0.35">
      <c r="A24" s="7" t="s">
        <v>30</v>
      </c>
      <c r="B24" s="3" t="str">
        <f>VLOOKUP(A24,GDP_LCU!A:B,2,FALSE)</f>
        <v>CAF</v>
      </c>
      <c r="C24" s="3">
        <v>2019</v>
      </c>
      <c r="D24" s="4">
        <v>2.5769643360121778E-2</v>
      </c>
      <c r="E24" s="5">
        <f>VLOOKUP(A24,GDP_LCU!A:C,3,FALSE)</f>
        <v>1301484925000</v>
      </c>
      <c r="F24" s="3">
        <f t="shared" si="0"/>
        <v>33538802355.824841</v>
      </c>
      <c r="G24" s="3">
        <f>IFERROR(VLOOKUP(B24,'C'!B:C,2,FALSE),"")</f>
        <v>1250581506900</v>
      </c>
      <c r="H24" s="3">
        <f>IFERROR(VLOOKUP(B24,G!B:C,2,FALSE),"")</f>
        <v>104699776900</v>
      </c>
      <c r="I24" s="3" t="str">
        <f>IFERROR(VLOOKUP(B24,'VAT Rates'!B:C,2,FALSE),"")</f>
        <v/>
      </c>
    </row>
    <row r="25" spans="1:9" x14ac:dyDescent="0.35">
      <c r="A25" s="7" t="s">
        <v>33</v>
      </c>
      <c r="B25" s="3" t="str">
        <f>VLOOKUP(A25,GDP_LCU!A:B,2,FALSE)</f>
        <v>CHL</v>
      </c>
      <c r="C25" s="3">
        <v>2019</v>
      </c>
      <c r="D25" s="4">
        <v>8.1133250388151182E-2</v>
      </c>
      <c r="E25" s="5">
        <f>VLOOKUP(A25,GDP_LCU!A:C,3,FALSE)</f>
        <v>195531722450800</v>
      </c>
      <c r="F25" s="3">
        <f t="shared" si="0"/>
        <v>15864124196427.238</v>
      </c>
      <c r="G25" s="3">
        <f>IFERROR(VLOOKUP(B25,'C'!B:C,2,FALSE),"")</f>
        <v>120583344531700</v>
      </c>
      <c r="H25" s="3">
        <f>IFERROR(VLOOKUP(B25,G!B:C,2,FALSE),"")</f>
        <v>29826322372000</v>
      </c>
      <c r="I25" s="3">
        <f>IFERROR(VLOOKUP(B25,'VAT Rates'!B:C,2,FALSE),"")</f>
        <v>19</v>
      </c>
    </row>
    <row r="26" spans="1:9" x14ac:dyDescent="0.35">
      <c r="A26" s="7" t="s">
        <v>34</v>
      </c>
      <c r="B26" s="3" t="str">
        <f>VLOOKUP(A26,GDP_LCU!A:B,2,FALSE)</f>
        <v>CHN</v>
      </c>
      <c r="C26" s="3">
        <v>2019</v>
      </c>
      <c r="D26" s="4">
        <v>6.1562105660959363E-2</v>
      </c>
      <c r="E26" s="5">
        <f>VLOOKUP(A26,GDP_LCU!A:C,3,FALSE)</f>
        <v>98651520229200</v>
      </c>
      <c r="F26" s="3">
        <f t="shared" si="0"/>
        <v>6073195311964.2803</v>
      </c>
      <c r="G26" s="3">
        <f>IFERROR(VLOOKUP(B26,'C'!B:C,2,FALSE),"")</f>
        <v>38718809952500</v>
      </c>
      <c r="H26" s="3">
        <f>IFERROR(VLOOKUP(B26,G!B:C,2,FALSE),"")</f>
        <v>16544363964400</v>
      </c>
      <c r="I26" s="3">
        <f>IFERROR(VLOOKUP(B26,'VAT Rates'!B:C,2,FALSE),"")</f>
        <v>16</v>
      </c>
    </row>
    <row r="27" spans="1:9" x14ac:dyDescent="0.35">
      <c r="A27" s="7" t="s">
        <v>192</v>
      </c>
      <c r="B27" s="3" t="str">
        <f>VLOOKUP(A27,GDP_LCU!A:B,2,FALSE)</f>
        <v>COD</v>
      </c>
      <c r="C27" s="3">
        <v>2019</v>
      </c>
      <c r="D27" s="4">
        <v>1.6898393562722071E-2</v>
      </c>
      <c r="E27" s="5">
        <f>VLOOKUP(A27,GDP_LCU!A:C,3,FALSE)</f>
        <v>85314148014000</v>
      </c>
      <c r="F27" s="3">
        <f t="shared" si="0"/>
        <v>1441672049608.8955</v>
      </c>
      <c r="G27" s="3">
        <f>IFERROR(VLOOKUP(B27,'C'!B:C,2,FALSE),"")</f>
        <v>64818397251000</v>
      </c>
      <c r="H27" s="3">
        <f>IFERROR(VLOOKUP(B27,G!B:C,2,FALSE),"")</f>
        <v>5911543000000</v>
      </c>
      <c r="I27" s="3" t="str">
        <f>IFERROR(VLOOKUP(B27,'VAT Rates'!B:C,2,FALSE),"")</f>
        <v/>
      </c>
    </row>
    <row r="28" spans="1:9" x14ac:dyDescent="0.35">
      <c r="A28" s="7" t="s">
        <v>193</v>
      </c>
      <c r="B28" s="3" t="str">
        <f>VLOOKUP(A28,GDP_LCU!A:B,2,FALSE)</f>
        <v>COG</v>
      </c>
      <c r="C28" s="3">
        <v>2019</v>
      </c>
      <c r="D28" s="4">
        <v>2.0659038003643632E-2</v>
      </c>
      <c r="E28" s="5">
        <f>VLOOKUP(A28,GDP_LCU!A:C,3,FALSE)</f>
        <v>8189065738199.9902</v>
      </c>
      <c r="F28" s="3">
        <f t="shared" si="0"/>
        <v>169178220299.8096</v>
      </c>
      <c r="G28" s="3">
        <f>IFERROR(VLOOKUP(B28,'C'!B:C,2,FALSE),"")</f>
        <v>3278668347200</v>
      </c>
      <c r="H28" s="3">
        <f>IFERROR(VLOOKUP(B28,G!B:C,2,FALSE),"")</f>
        <v>1084304404300</v>
      </c>
      <c r="I28" s="3" t="str">
        <f>IFERROR(VLOOKUP(B28,'VAT Rates'!B:C,2,FALSE),"")</f>
        <v/>
      </c>
    </row>
    <row r="29" spans="1:9" x14ac:dyDescent="0.35">
      <c r="A29" s="7" t="s">
        <v>40</v>
      </c>
      <c r="B29" s="3" t="str">
        <f>VLOOKUP(A29,GDP_LCU!A:B,2,FALSE)</f>
        <v>CRI</v>
      </c>
      <c r="C29" s="3">
        <v>2019</v>
      </c>
      <c r="D29" s="4">
        <v>4.3216837398878993E-2</v>
      </c>
      <c r="E29" s="5">
        <f>VLOOKUP(A29,GDP_LCU!A:C,3,FALSE)</f>
        <v>37832149784000</v>
      </c>
      <c r="F29" s="3">
        <f t="shared" si="0"/>
        <v>1634985865665.1631</v>
      </c>
      <c r="G29" s="3">
        <f>IFERROR(VLOOKUP(B29,'C'!B:C,2,FALSE),"")</f>
        <v>24324029648000</v>
      </c>
      <c r="H29" s="3">
        <f>IFERROR(VLOOKUP(B29,G!B:C,2,FALSE),"")</f>
        <v>6337339445100</v>
      </c>
      <c r="I29" s="3">
        <f>IFERROR(VLOOKUP(B29,'VAT Rates'!B:C,2,FALSE),"")</f>
        <v>13</v>
      </c>
    </row>
    <row r="30" spans="1:9" x14ac:dyDescent="0.35">
      <c r="A30" s="7" t="s">
        <v>71</v>
      </c>
      <c r="B30" s="3" t="str">
        <f>VLOOKUP(A30,GDP_LCU!A:B,2,FALSE)</f>
        <v>HRV</v>
      </c>
      <c r="C30" s="3">
        <v>2019</v>
      </c>
      <c r="D30" s="4">
        <v>0.13332988956831249</v>
      </c>
      <c r="E30" s="5">
        <f>VLOOKUP(A30,GDP_LCU!A:C,3,FALSE)</f>
        <v>55263209800.000198</v>
      </c>
      <c r="F30" s="3">
        <f t="shared" si="0"/>
        <v>7368237659.8245106</v>
      </c>
      <c r="G30" s="3">
        <f>IFERROR(VLOOKUP(B30,'C'!B:C,2,FALSE),"")</f>
        <v>31157947900.000099</v>
      </c>
      <c r="H30" s="3">
        <f>IFERROR(VLOOKUP(B30,G!B:C,2,FALSE),"")</f>
        <v>11931331200</v>
      </c>
      <c r="I30" s="3">
        <f>IFERROR(VLOOKUP(B30,'VAT Rates'!B:C,2,FALSE),"")</f>
        <v>25</v>
      </c>
    </row>
    <row r="31" spans="1:9" x14ac:dyDescent="0.35">
      <c r="A31" s="7" t="s">
        <v>42</v>
      </c>
      <c r="B31" s="3" t="str">
        <f>VLOOKUP(A31,GDP_LCU!A:B,2,FALSE)</f>
        <v>CYP</v>
      </c>
      <c r="C31" s="3">
        <v>2019</v>
      </c>
      <c r="D31" s="4">
        <v>8.9122367966862265E-2</v>
      </c>
      <c r="E31" s="5">
        <f>VLOOKUP(A31,GDP_LCU!A:C,3,FALSE)</f>
        <v>23177856999.999901</v>
      </c>
      <c r="F31" s="3">
        <f t="shared" si="0"/>
        <v>2065665500.2373054</v>
      </c>
      <c r="G31" s="3">
        <f>IFERROR(VLOOKUP(B31,'C'!B:C,2,FALSE),"")</f>
        <v>14622467999.999901</v>
      </c>
      <c r="H31" s="3">
        <f>IFERROR(VLOOKUP(B31,G!B:C,2,FALSE),"")</f>
        <v>3724500000</v>
      </c>
      <c r="I31" s="3">
        <f>IFERROR(VLOOKUP(B31,'VAT Rates'!B:C,2,FALSE),"")</f>
        <v>19</v>
      </c>
    </row>
    <row r="32" spans="1:9" x14ac:dyDescent="0.35">
      <c r="A32" s="7" t="s">
        <v>43</v>
      </c>
      <c r="B32" s="3" t="str">
        <f>VLOOKUP(A32,GDP_LCU!A:B,2,FALSE)</f>
        <v>CZE</v>
      </c>
      <c r="C32" s="3">
        <v>2019</v>
      </c>
      <c r="D32" s="4">
        <v>7.5190018843138681E-2</v>
      </c>
      <c r="E32" s="5">
        <f>VLOOKUP(A32,GDP_LCU!A:C,3,FALSE)</f>
        <v>5791497999999.9902</v>
      </c>
      <c r="F32" s="3">
        <f t="shared" si="0"/>
        <v>435462843749.99927</v>
      </c>
      <c r="G32" s="3">
        <f>IFERROR(VLOOKUP(B32,'C'!B:C,2,FALSE),"")</f>
        <v>2711342000000</v>
      </c>
      <c r="H32" s="3">
        <f>IFERROR(VLOOKUP(B32,G!B:C,2,FALSE),"")</f>
        <v>1134469000000</v>
      </c>
      <c r="I32" s="3">
        <f>IFERROR(VLOOKUP(B32,'VAT Rates'!B:C,2,FALSE),"")</f>
        <v>21</v>
      </c>
    </row>
    <row r="33" spans="1:9" x14ac:dyDescent="0.35">
      <c r="A33" s="7" t="s">
        <v>47</v>
      </c>
      <c r="B33" s="3" t="str">
        <f>VLOOKUP(A33,GDP_LCU!A:B,2,FALSE)</f>
        <v>DNK</v>
      </c>
      <c r="C33" s="3">
        <v>2019</v>
      </c>
      <c r="D33" s="4">
        <v>9.6574616879169004E-2</v>
      </c>
      <c r="E33" s="5">
        <f>VLOOKUP(A33,GDP_LCU!A:C,3,FALSE)</f>
        <v>2310954834999.9902</v>
      </c>
      <c r="F33" s="3">
        <f t="shared" si="0"/>
        <v>223179577815.18729</v>
      </c>
      <c r="G33" s="3">
        <f>IFERROR(VLOOKUP(B33,'C'!B:C,2,FALSE),"")</f>
        <v>1084975946000</v>
      </c>
      <c r="H33" s="3">
        <f>IFERROR(VLOOKUP(B33,G!B:C,2,FALSE),"")</f>
        <v>557590117000</v>
      </c>
      <c r="I33" s="3">
        <f>IFERROR(VLOOKUP(B33,'VAT Rates'!B:C,2,FALSE),"")</f>
        <v>25</v>
      </c>
    </row>
    <row r="34" spans="1:9" x14ac:dyDescent="0.35">
      <c r="A34" s="7" t="s">
        <v>48</v>
      </c>
      <c r="B34" s="3" t="str">
        <f>VLOOKUP(A34,GDP_LCU!A:B,2,FALSE)</f>
        <v>DOM</v>
      </c>
      <c r="C34" s="3">
        <v>2019</v>
      </c>
      <c r="D34" s="4">
        <v>4.6906834040771686E-2</v>
      </c>
      <c r="E34" s="5">
        <f>VLOOKUP(A34,GDP_LCU!A:C,3,FALSE)</f>
        <v>4562235075700</v>
      </c>
      <c r="F34" s="3">
        <f t="shared" si="0"/>
        <v>214000003550.84735</v>
      </c>
      <c r="G34" s="3">
        <f>IFERROR(VLOOKUP(B34,'C'!B:C,2,FALSE),"")</f>
        <v>3093147936900</v>
      </c>
      <c r="H34" s="3">
        <f>IFERROR(VLOOKUP(B34,G!B:C,2,FALSE),"")</f>
        <v>504984551500</v>
      </c>
      <c r="I34" s="3">
        <f>IFERROR(VLOOKUP(B34,'VAT Rates'!B:C,2,FALSE),"")</f>
        <v>18</v>
      </c>
    </row>
    <row r="35" spans="1:9" x14ac:dyDescent="0.35">
      <c r="A35" s="7" t="s">
        <v>50</v>
      </c>
      <c r="B35" s="3" t="str">
        <f>VLOOKUP(A35,GDP_LCU!A:B,2,FALSE)</f>
        <v>ECU</v>
      </c>
      <c r="C35" s="3">
        <v>2019</v>
      </c>
      <c r="D35" s="4">
        <v>6.0481935237794611E-2</v>
      </c>
      <c r="E35" s="5">
        <f>VLOOKUP(A35,GDP_LCU!A:C,3,FALSE)</f>
        <v>107595829000</v>
      </c>
      <c r="F35" s="3">
        <f t="shared" si="0"/>
        <v>6507603961.434823</v>
      </c>
      <c r="G35" s="3">
        <f>IFERROR(VLOOKUP(B35,'C'!B:C,2,FALSE),"")</f>
        <v>68594786000</v>
      </c>
      <c r="H35" s="3">
        <f>IFERROR(VLOOKUP(B35,G!B:C,2,FALSE),"")</f>
        <v>16337434000</v>
      </c>
      <c r="I35" s="3">
        <f>IFERROR(VLOOKUP(B35,'VAT Rates'!B:C,2,FALSE),"")</f>
        <v>12</v>
      </c>
    </row>
    <row r="36" spans="1:9" x14ac:dyDescent="0.35">
      <c r="A36" s="7" t="s">
        <v>145</v>
      </c>
      <c r="B36" s="3" t="str">
        <f>VLOOKUP(A36,GDP_LCU!A:B,2,FALSE)</f>
        <v>SLV</v>
      </c>
      <c r="C36" s="3">
        <v>2019</v>
      </c>
      <c r="D36" s="4">
        <v>8.2340686730404372E-2</v>
      </c>
      <c r="E36" s="5">
        <f>VLOOKUP(A36,GDP_LCU!A:C,3,FALSE)</f>
        <v>26881140000</v>
      </c>
      <c r="F36" s="3">
        <f t="shared" si="0"/>
        <v>2213411527.6961422</v>
      </c>
      <c r="G36" s="3">
        <f>IFERROR(VLOOKUP(B36,'C'!B:C,2,FALSE),"")</f>
        <v>21976230000</v>
      </c>
      <c r="H36" s="3">
        <f>IFERROR(VLOOKUP(B36,G!B:C,2,FALSE),"")</f>
        <v>4309590000</v>
      </c>
      <c r="I36" s="3">
        <f>IFERROR(VLOOKUP(B36,'VAT Rates'!B:C,2,FALSE),"")</f>
        <v>13</v>
      </c>
    </row>
    <row r="37" spans="1:9" x14ac:dyDescent="0.35">
      <c r="A37" s="7" t="s">
        <v>53</v>
      </c>
      <c r="B37" s="3" t="str">
        <f>VLOOKUP(A37,GDP_LCU!A:B,2,FALSE)</f>
        <v>EST</v>
      </c>
      <c r="C37" s="3">
        <v>2019</v>
      </c>
      <c r="D37" s="4">
        <v>8.9415094810800469E-2</v>
      </c>
      <c r="E37" s="5">
        <f>VLOOKUP(A37,GDP_LCU!A:C,3,FALSE)</f>
        <v>27951018999.999901</v>
      </c>
      <c r="F37" s="3">
        <f t="shared" si="0"/>
        <v>2499243013.9434767</v>
      </c>
      <c r="G37" s="3">
        <f>IFERROR(VLOOKUP(B37,'C'!B:C,2,FALSE),"")</f>
        <v>13963871000</v>
      </c>
      <c r="H37" s="3">
        <f>IFERROR(VLOOKUP(B37,G!B:C,2,FALSE),"")</f>
        <v>5433020000</v>
      </c>
      <c r="I37" s="3">
        <f>IFERROR(VLOOKUP(B37,'VAT Rates'!B:C,2,FALSE),"")</f>
        <v>20</v>
      </c>
    </row>
    <row r="38" spans="1:9" x14ac:dyDescent="0.35">
      <c r="A38" s="7" t="s">
        <v>154</v>
      </c>
      <c r="B38" s="3" t="str">
        <f>VLOOKUP(A38,GDP_LCU!A:B,2,FALSE)</f>
        <v>SWZ</v>
      </c>
      <c r="C38" s="3">
        <v>2019</v>
      </c>
      <c r="D38" s="4">
        <v>4.563730776125606E-2</v>
      </c>
      <c r="E38" s="5">
        <f>VLOOKUP(A38,GDP_LCU!A:C,3,FALSE)</f>
        <v>64964654023.437599</v>
      </c>
      <c r="F38" s="3">
        <f t="shared" si="0"/>
        <v>2964811909.2711434</v>
      </c>
      <c r="G38" s="3">
        <f>IFERROR(VLOOKUP(B38,'C'!B:C,2,FALSE),"")</f>
        <v>41429720400</v>
      </c>
      <c r="H38" s="3">
        <f>IFERROR(VLOOKUP(B38,G!B:C,2,FALSE),"")</f>
        <v>14070618200</v>
      </c>
      <c r="I38" s="3">
        <f>IFERROR(VLOOKUP(B38,'VAT Rates'!B:C,2,FALSE),"")</f>
        <v>15</v>
      </c>
    </row>
    <row r="39" spans="1:9" x14ac:dyDescent="0.35">
      <c r="A39" s="7" t="s">
        <v>56</v>
      </c>
      <c r="B39" s="3" t="str">
        <f>VLOOKUP(A39,GDP_LCU!A:B,2,FALSE)</f>
        <v>FJI</v>
      </c>
      <c r="C39" s="3">
        <v>2019</v>
      </c>
      <c r="D39" s="4">
        <v>6.4641388648990966E-2</v>
      </c>
      <c r="E39" s="5">
        <f>VLOOKUP(A39,GDP_LCU!A:C,3,FALSE)</f>
        <v>11762059200</v>
      </c>
      <c r="F39" s="3">
        <f t="shared" si="0"/>
        <v>760315840.05963981</v>
      </c>
      <c r="G39" s="3">
        <f>IFERROR(VLOOKUP(B39,'C'!B:C,2,FALSE),"")</f>
        <v>8284515699.99998</v>
      </c>
      <c r="H39" s="3">
        <f>IFERROR(VLOOKUP(B39,G!B:C,2,FALSE),"")</f>
        <v>2498547800</v>
      </c>
      <c r="I39" s="3">
        <f>IFERROR(VLOOKUP(B39,'VAT Rates'!B:C,2,FALSE),"")</f>
        <v>9</v>
      </c>
    </row>
    <row r="40" spans="1:9" x14ac:dyDescent="0.35">
      <c r="A40" s="7" t="s">
        <v>55</v>
      </c>
      <c r="B40" s="3" t="str">
        <f>VLOOKUP(A40,GDP_LCU!A:B,2,FALSE)</f>
        <v>FIN</v>
      </c>
      <c r="C40" s="3">
        <v>2019</v>
      </c>
      <c r="D40" s="4">
        <v>9.1612537417972303E-2</v>
      </c>
      <c r="E40" s="5">
        <f>VLOOKUP(A40,GDP_LCU!A:C,3,FALSE)</f>
        <v>239858000000</v>
      </c>
      <c r="F40" s="3">
        <f t="shared" si="0"/>
        <v>21974000000</v>
      </c>
      <c r="G40" s="3">
        <f>IFERROR(VLOOKUP(B40,'C'!B:C,2,FALSE),"")</f>
        <v>126081000000</v>
      </c>
      <c r="H40" s="3">
        <f>IFERROR(VLOOKUP(B40,G!B:C,2,FALSE),"")</f>
        <v>55619000000</v>
      </c>
      <c r="I40" s="3">
        <f>IFERROR(VLOOKUP(B40,'VAT Rates'!B:C,2,FALSE),"")</f>
        <v>24</v>
      </c>
    </row>
    <row r="41" spans="1:9" x14ac:dyDescent="0.35">
      <c r="A41" s="7" t="s">
        <v>57</v>
      </c>
      <c r="B41" s="3" t="str">
        <f>VLOOKUP(A41,GDP_LCU!A:B,2,FALSE)</f>
        <v>FRA</v>
      </c>
      <c r="C41" s="3">
        <v>2019</v>
      </c>
      <c r="D41" s="4">
        <v>7.1747410912626375E-2</v>
      </c>
      <c r="E41" s="5">
        <f>VLOOKUP(A41,GDP_LCU!A:C,3,FALSE)</f>
        <v>2437634999999.9902</v>
      </c>
      <c r="F41" s="3">
        <f t="shared" si="0"/>
        <v>174893999999.9993</v>
      </c>
      <c r="G41" s="3">
        <f>IFERROR(VLOOKUP(B41,'C'!B:C,2,FALSE),"")</f>
        <v>1306796000000</v>
      </c>
      <c r="H41" s="3">
        <f>IFERROR(VLOOKUP(B41,G!B:C,2,FALSE),"")</f>
        <v>560255000000</v>
      </c>
      <c r="I41" s="3">
        <f>IFERROR(VLOOKUP(B41,'VAT Rates'!B:C,2,FALSE),"")</f>
        <v>20</v>
      </c>
    </row>
    <row r="42" spans="1:9" x14ac:dyDescent="0.35">
      <c r="A42" s="7" t="s">
        <v>58</v>
      </c>
      <c r="B42" s="3" t="str">
        <f>VLOOKUP(A42,GDP_LCU!A:B,2,FALSE)</f>
        <v>GAB</v>
      </c>
      <c r="C42" s="3">
        <v>2019</v>
      </c>
      <c r="D42" s="4">
        <v>1.3350964698228752E-2</v>
      </c>
      <c r="E42" s="5">
        <f>VLOOKUP(A42,GDP_LCU!A:C,3,FALSE)</f>
        <v>9886899999999.9902</v>
      </c>
      <c r="F42" s="3">
        <f t="shared" si="0"/>
        <v>131999652874.91772</v>
      </c>
      <c r="G42" s="3">
        <f>IFERROR(VLOOKUP(B42,'C'!B:C,2,FALSE),"")</f>
        <v>3724762738900</v>
      </c>
      <c r="H42" s="3">
        <f>IFERROR(VLOOKUP(B42,G!B:C,2,FALSE),"")</f>
        <v>1086909360700.0001</v>
      </c>
      <c r="I42" s="3" t="str">
        <f>IFERROR(VLOOKUP(B42,'VAT Rates'!B:C,2,FALSE),"")</f>
        <v/>
      </c>
    </row>
    <row r="43" spans="1:9" x14ac:dyDescent="0.35">
      <c r="A43" s="7" t="s">
        <v>60</v>
      </c>
      <c r="B43" s="3" t="str">
        <f>VLOOKUP(A43,GDP_LCU!A:B,2,FALSE)</f>
        <v>GEO</v>
      </c>
      <c r="C43" s="3">
        <v>2019</v>
      </c>
      <c r="D43" s="4">
        <v>0.10636915517836477</v>
      </c>
      <c r="E43" s="5">
        <f>VLOOKUP(A43,GDP_LCU!A:C,3,FALSE)</f>
        <v>49726000000</v>
      </c>
      <c r="F43" s="3">
        <f t="shared" si="0"/>
        <v>5289312610.3993664</v>
      </c>
      <c r="G43" s="3">
        <f>IFERROR(VLOOKUP(B43,'C'!B:C,2,FALSE),"")</f>
        <v>34256004000</v>
      </c>
      <c r="H43" s="3">
        <f>IFERROR(VLOOKUP(B43,G!B:C,2,FALSE),"")</f>
        <v>6536126500</v>
      </c>
      <c r="I43" s="3">
        <f>IFERROR(VLOOKUP(B43,'VAT Rates'!B:C,2,FALSE),"")</f>
        <v>18</v>
      </c>
    </row>
    <row r="44" spans="1:9" x14ac:dyDescent="0.35">
      <c r="A44" s="7" t="s">
        <v>44</v>
      </c>
      <c r="B44" s="3" t="str">
        <f>VLOOKUP(A44,GDP_LCU!A:B,2,FALSE)</f>
        <v>DEU</v>
      </c>
      <c r="C44" s="3">
        <v>2019</v>
      </c>
      <c r="D44" s="4">
        <v>7.0375670119714615E-2</v>
      </c>
      <c r="E44" s="5">
        <f>VLOOKUP(A44,GDP_LCU!A:C,3,FALSE)</f>
        <v>3474110000000</v>
      </c>
      <c r="F44" s="3">
        <f t="shared" si="0"/>
        <v>244492819319.60175</v>
      </c>
      <c r="G44" s="3">
        <f>IFERROR(VLOOKUP(B44,'C'!B:C,2,FALSE),"")</f>
        <v>1804533000000</v>
      </c>
      <c r="H44" s="3">
        <f>IFERROR(VLOOKUP(B44,G!B:C,2,FALSE),"")</f>
        <v>703548000000</v>
      </c>
      <c r="I44" s="3">
        <f>IFERROR(VLOOKUP(B44,'VAT Rates'!B:C,2,FALSE),"")</f>
        <v>19</v>
      </c>
    </row>
    <row r="45" spans="1:9" x14ac:dyDescent="0.35">
      <c r="A45" s="7" t="s">
        <v>61</v>
      </c>
      <c r="B45" s="3" t="str">
        <f>VLOOKUP(A45,GDP_LCU!A:B,2,FALSE)</f>
        <v>GHA</v>
      </c>
      <c r="C45" s="3">
        <v>2019</v>
      </c>
      <c r="D45" s="4">
        <v>3.4622888080608566E-2</v>
      </c>
      <c r="E45" s="5">
        <f>VLOOKUP(A45,GDP_LCU!A:C,3,FALSE)</f>
        <v>356544265600.00098</v>
      </c>
      <c r="F45" s="3">
        <f t="shared" si="0"/>
        <v>12344592203.651609</v>
      </c>
      <c r="G45" s="3">
        <f>IFERROR(VLOOKUP(B45,'C'!B:C,2,FALSE),"")</f>
        <v>271811961500.00101</v>
      </c>
      <c r="H45" s="3">
        <f>IFERROR(VLOOKUP(B45,G!B:C,2,FALSE),"")</f>
        <v>25112139300</v>
      </c>
      <c r="I45" s="3">
        <f>IFERROR(VLOOKUP(B45,'VAT Rates'!B:C,2,FALSE),"")</f>
        <v>18.13</v>
      </c>
    </row>
    <row r="46" spans="1:9" x14ac:dyDescent="0.35">
      <c r="A46" s="7" t="s">
        <v>66</v>
      </c>
      <c r="B46" s="3" t="str">
        <f>VLOOKUP(A46,GDP_LCU!A:B,2,FALSE)</f>
        <v>GRC</v>
      </c>
      <c r="C46" s="3">
        <v>2019</v>
      </c>
      <c r="D46" s="4">
        <v>8.3937366035636563E-2</v>
      </c>
      <c r="E46" s="5">
        <f>VLOOKUP(A46,GDP_LCU!A:C,3,FALSE)</f>
        <v>183347418000</v>
      </c>
      <c r="F46" s="3">
        <f t="shared" si="0"/>
        <v>15389699336.35486</v>
      </c>
      <c r="G46" s="3">
        <f>IFERROR(VLOOKUP(B46,'C'!B:C,2,FALSE),"")</f>
        <v>126598988000</v>
      </c>
      <c r="H46" s="3">
        <f>IFERROR(VLOOKUP(B46,G!B:C,2,FALSE),"")</f>
        <v>36997578000</v>
      </c>
      <c r="I46" s="3">
        <f>IFERROR(VLOOKUP(B46,'VAT Rates'!B:C,2,FALSE),"")</f>
        <v>24</v>
      </c>
    </row>
    <row r="47" spans="1:9" x14ac:dyDescent="0.35">
      <c r="A47" s="7" t="s">
        <v>68</v>
      </c>
      <c r="B47" s="3" t="str">
        <f>VLOOKUP(A47,GDP_LCU!A:B,2,FALSE)</f>
        <v>GTM</v>
      </c>
      <c r="C47" s="3">
        <v>2019</v>
      </c>
      <c r="D47" s="4">
        <v>4.9817239475787846E-2</v>
      </c>
      <c r="E47" s="5">
        <f>VLOOKUP(A47,GDP_LCU!A:C,3,FALSE)</f>
        <v>593972019900</v>
      </c>
      <c r="F47" s="3">
        <f t="shared" si="0"/>
        <v>29590046357.275723</v>
      </c>
      <c r="G47" s="3">
        <f>IFERROR(VLOOKUP(B47,'C'!B:C,2,FALSE),"")</f>
        <v>504020593700</v>
      </c>
      <c r="H47" s="3">
        <f>IFERROR(VLOOKUP(B47,G!B:C,2,FALSE),"")</f>
        <v>65972500900</v>
      </c>
      <c r="I47" s="3">
        <f>IFERROR(VLOOKUP(B47,'VAT Rates'!B:C,2,FALSE),"")</f>
        <v>12</v>
      </c>
    </row>
    <row r="48" spans="1:9" x14ac:dyDescent="0.35">
      <c r="A48" s="7" t="s">
        <v>64</v>
      </c>
      <c r="B48" s="3" t="str">
        <f>VLOOKUP(A48,GDP_LCU!A:B,2,FALSE)</f>
        <v>GNB</v>
      </c>
      <c r="C48" s="3">
        <v>2019</v>
      </c>
      <c r="D48" s="4">
        <v>2.884970214239049E-2</v>
      </c>
      <c r="E48" s="5">
        <f>VLOOKUP(A48,GDP_LCU!A:C,3,FALSE)</f>
        <v>870943000000</v>
      </c>
      <c r="F48" s="3">
        <f t="shared" si="0"/>
        <v>25126446133</v>
      </c>
      <c r="G48" s="3">
        <f>IFERROR(VLOOKUP(B48,'C'!B:C,2,FALSE),"")</f>
        <v>589022000000</v>
      </c>
      <c r="H48" s="3">
        <f>IFERROR(VLOOKUP(B48,G!B:C,2,FALSE),"")</f>
        <v>128946000000</v>
      </c>
      <c r="I48" s="3" t="str">
        <f>IFERROR(VLOOKUP(B48,'VAT Rates'!B:C,2,FALSE),"")</f>
        <v/>
      </c>
    </row>
    <row r="49" spans="1:9" x14ac:dyDescent="0.35">
      <c r="A49" s="7" t="s">
        <v>69</v>
      </c>
      <c r="B49" s="3" t="str">
        <f>VLOOKUP(A49,GDP_LCU!A:B,2,FALSE)</f>
        <v>GUY</v>
      </c>
      <c r="C49" s="3">
        <v>2019</v>
      </c>
      <c r="D49" s="4">
        <v>4.8831126260627092E-2</v>
      </c>
      <c r="E49" s="5">
        <f>VLOOKUP(A49,GDP_LCU!A:C,3,FALSE)</f>
        <v>1078729000000</v>
      </c>
      <c r="F49" s="3">
        <f t="shared" si="0"/>
        <v>52675552000</v>
      </c>
      <c r="G49" s="3" t="str">
        <f>IFERROR(VLOOKUP(B49,'C'!B:C,2,FALSE),"")</f>
        <v/>
      </c>
      <c r="H49" s="3" t="str">
        <f>IFERROR(VLOOKUP(B49,G!B:C,2,FALSE),"")</f>
        <v/>
      </c>
      <c r="I49" s="3" t="str">
        <f>IFERROR(VLOOKUP(B49,'VAT Rates'!B:C,2,FALSE),"")</f>
        <v/>
      </c>
    </row>
    <row r="50" spans="1:9" x14ac:dyDescent="0.35">
      <c r="A50" s="7" t="s">
        <v>73</v>
      </c>
      <c r="B50" s="3" t="str">
        <f>VLOOKUP(A50,GDP_LCU!A:B,2,FALSE)</f>
        <v>HUN</v>
      </c>
      <c r="C50" s="3">
        <v>2019</v>
      </c>
      <c r="D50" s="4">
        <v>9.4970398149784183E-2</v>
      </c>
      <c r="E50" s="5">
        <f>VLOOKUP(A50,GDP_LCU!A:C,3,FALSE)</f>
        <v>47674187000000</v>
      </c>
      <c r="F50" s="3">
        <f t="shared" si="0"/>
        <v>4527636520857.2646</v>
      </c>
      <c r="G50" s="3">
        <f>IFERROR(VLOOKUP(B50,'C'!B:C,2,FALSE),"")</f>
        <v>23461993000000</v>
      </c>
      <c r="H50" s="3">
        <f>IFERROR(VLOOKUP(B50,G!B:C,2,FALSE),"")</f>
        <v>9575706000000</v>
      </c>
      <c r="I50" s="3">
        <f>IFERROR(VLOOKUP(B50,'VAT Rates'!B:C,2,FALSE),"")</f>
        <v>27</v>
      </c>
    </row>
    <row r="51" spans="1:9" x14ac:dyDescent="0.35">
      <c r="A51" s="7" t="s">
        <v>78</v>
      </c>
      <c r="B51" s="3" t="str">
        <f>VLOOKUP(A51,GDP_LCU!A:B,2,FALSE)</f>
        <v>ISL</v>
      </c>
      <c r="C51" s="3">
        <v>2019</v>
      </c>
      <c r="D51" s="4">
        <v>8.0453143493117732E-2</v>
      </c>
      <c r="E51" s="5">
        <f>VLOOKUP(A51,GDP_LCU!A:C,3,FALSE)</f>
        <v>3026099913000.0098</v>
      </c>
      <c r="F51" s="3">
        <f t="shared" si="0"/>
        <v>243459250525.10086</v>
      </c>
      <c r="G51" s="3">
        <f>IFERROR(VLOOKUP(B51,'C'!B:C,2,FALSE),"")</f>
        <v>1518352644000</v>
      </c>
      <c r="H51" s="3">
        <f>IFERROR(VLOOKUP(B51,G!B:C,2,FALSE),"")</f>
        <v>744038573000</v>
      </c>
      <c r="I51" s="3">
        <f>IFERROR(VLOOKUP(B51,'VAT Rates'!B:C,2,FALSE),"")</f>
        <v>24</v>
      </c>
    </row>
    <row r="52" spans="1:9" x14ac:dyDescent="0.35">
      <c r="A52" s="7" t="s">
        <v>74</v>
      </c>
      <c r="B52" s="3" t="str">
        <f>VLOOKUP(A52,GDP_LCU!A:B,2,FALSE)</f>
        <v>IDN</v>
      </c>
      <c r="C52" s="3">
        <v>2019</v>
      </c>
      <c r="D52" s="4">
        <v>3.3670246367656351E-2</v>
      </c>
      <c r="E52" s="5">
        <f>VLOOKUP(A52,GDP_LCU!A:C,3,FALSE)</f>
        <v>1.58326572E+16</v>
      </c>
      <c r="F52" s="3">
        <f t="shared" si="0"/>
        <v>533089468578648.19</v>
      </c>
      <c r="G52" s="3">
        <f>IFERROR(VLOOKUP(B52,'C'!B:C,2,FALSE),"")</f>
        <v>9171931870699990</v>
      </c>
      <c r="H52" s="3">
        <f>IFERROR(VLOOKUP(B52,G!B:C,2,FALSE),"")</f>
        <v>1394615064000000</v>
      </c>
      <c r="I52" s="3">
        <f>IFERROR(VLOOKUP(B52,'VAT Rates'!B:C,2,FALSE),"")</f>
        <v>10</v>
      </c>
    </row>
    <row r="53" spans="1:9" x14ac:dyDescent="0.35">
      <c r="A53" s="7" t="s">
        <v>76</v>
      </c>
      <c r="B53" s="3" t="str">
        <f>VLOOKUP(A53,GDP_LCU!A:B,2,FALSE)</f>
        <v>IRL</v>
      </c>
      <c r="C53" s="3">
        <v>2019</v>
      </c>
      <c r="D53" s="4">
        <v>4.2811272948760179E-2</v>
      </c>
      <c r="E53" s="5">
        <f>VLOOKUP(A53,GDP_LCU!A:C,3,FALSE)</f>
        <v>356357386000.00098</v>
      </c>
      <c r="F53" s="3">
        <f t="shared" si="0"/>
        <v>15256113319.352732</v>
      </c>
      <c r="G53" s="3">
        <f>IFERROR(VLOOKUP(B53,'C'!B:C,2,FALSE),"")</f>
        <v>104797707000</v>
      </c>
      <c r="H53" s="3">
        <f>IFERROR(VLOOKUP(B53,G!B:C,2,FALSE),"")</f>
        <v>42966387000</v>
      </c>
      <c r="I53" s="3">
        <f>IFERROR(VLOOKUP(B53,'VAT Rates'!B:C,2,FALSE),"")</f>
        <v>23</v>
      </c>
    </row>
    <row r="54" spans="1:9" x14ac:dyDescent="0.35">
      <c r="A54" s="7" t="s">
        <v>79</v>
      </c>
      <c r="B54" s="3" t="str">
        <f>VLOOKUP(A54,GDP_LCU!A:B,2,FALSE)</f>
        <v>ISR</v>
      </c>
      <c r="C54" s="3">
        <v>2019</v>
      </c>
      <c r="D54" s="4">
        <v>7.1421779079364034E-2</v>
      </c>
      <c r="E54" s="5">
        <f>VLOOKUP(A54,GDP_LCU!A:C,3,FALSE)</f>
        <v>1434617152000</v>
      </c>
      <c r="F54" s="3">
        <f t="shared" si="0"/>
        <v>102462909293.61041</v>
      </c>
      <c r="G54" s="3">
        <f>IFERROR(VLOOKUP(B54,'C'!B:C,2,FALSE),"")</f>
        <v>744378754999.99902</v>
      </c>
      <c r="H54" s="3">
        <f>IFERROR(VLOOKUP(B54,G!B:C,2,FALSE),"")</f>
        <v>316137209000</v>
      </c>
      <c r="I54" s="3">
        <f>IFERROR(VLOOKUP(B54,'VAT Rates'!B:C,2,FALSE),"")</f>
        <v>17</v>
      </c>
    </row>
    <row r="55" spans="1:9" x14ac:dyDescent="0.35">
      <c r="A55" s="7" t="s">
        <v>80</v>
      </c>
      <c r="B55" s="3" t="str">
        <f>VLOOKUP(A55,GDP_LCU!A:B,2,FALSE)</f>
        <v>ITA</v>
      </c>
      <c r="C55" s="3">
        <v>2019</v>
      </c>
      <c r="D55" s="4">
        <v>6.2039976667661111E-2</v>
      </c>
      <c r="E55" s="5">
        <f>VLOOKUP(A55,GDP_LCU!A:C,3,FALSE)</f>
        <v>1796648499999.99</v>
      </c>
      <c r="F55" s="3">
        <f t="shared" si="0"/>
        <v>111464031019.98772</v>
      </c>
      <c r="G55" s="3">
        <f>IFERROR(VLOOKUP(B55,'C'!B:C,2,FALSE),"")</f>
        <v>1074679600000</v>
      </c>
      <c r="H55" s="3">
        <f>IFERROR(VLOOKUP(B55,G!B:C,2,FALSE),"")</f>
        <v>334512000000</v>
      </c>
      <c r="I55" s="3">
        <f>IFERROR(VLOOKUP(B55,'VAT Rates'!B:C,2,FALSE),"")</f>
        <v>22</v>
      </c>
    </row>
    <row r="56" spans="1:9" x14ac:dyDescent="0.35">
      <c r="A56" s="7" t="s">
        <v>81</v>
      </c>
      <c r="B56" s="3" t="str">
        <f>VLOOKUP(A56,GDP_LCU!A:B,2,FALSE)</f>
        <v>JAM</v>
      </c>
      <c r="C56" s="3">
        <v>2019</v>
      </c>
      <c r="D56" s="4">
        <v>9.4364521403901475E-2</v>
      </c>
      <c r="E56" s="5">
        <f>VLOOKUP(A56,GDP_LCU!A:C,3,FALSE)</f>
        <v>2110433000000</v>
      </c>
      <c r="F56" s="3">
        <f t="shared" si="0"/>
        <v>199150000000</v>
      </c>
      <c r="G56" s="3">
        <f>IFERROR(VLOOKUP(B56,'C'!B:C,2,FALSE),"")</f>
        <v>1607880000000</v>
      </c>
      <c r="H56" s="3">
        <f>IFERROR(VLOOKUP(B56,G!B:C,2,FALSE),"")</f>
        <v>286642000000</v>
      </c>
      <c r="I56" s="3">
        <f>IFERROR(VLOOKUP(B56,'VAT Rates'!B:C,2,FALSE),"")</f>
        <v>16.5</v>
      </c>
    </row>
    <row r="57" spans="1:9" x14ac:dyDescent="0.35">
      <c r="A57" s="7" t="s">
        <v>83</v>
      </c>
      <c r="B57" s="3" t="str">
        <f>VLOOKUP(A57,GDP_LCU!A:B,2,FALSE)</f>
        <v>JPN</v>
      </c>
      <c r="C57" s="3">
        <v>2019</v>
      </c>
      <c r="D57" s="4">
        <v>4.14916637726295E-2</v>
      </c>
      <c r="E57" s="5">
        <f>VLOOKUP(A57,GDP_LCU!A:C,3,FALSE)</f>
        <v>557910800000001</v>
      </c>
      <c r="F57" s="3">
        <f t="shared" si="0"/>
        <v>23148647328718.785</v>
      </c>
      <c r="G57" s="3">
        <f>IFERROR(VLOOKUP(B57,'C'!B:C,2,FALSE),"")</f>
        <v>304365900000001</v>
      </c>
      <c r="H57" s="3">
        <f>IFERROR(VLOOKUP(B57,G!B:C,2,FALSE),"")</f>
        <v>111275900000000</v>
      </c>
      <c r="I57" s="3">
        <f>IFERROR(VLOOKUP(B57,'VAT Rates'!B:C,2,FALSE),"")</f>
        <v>8</v>
      </c>
    </row>
    <row r="58" spans="1:9" x14ac:dyDescent="0.35">
      <c r="A58" s="7" t="s">
        <v>84</v>
      </c>
      <c r="B58" s="3" t="str">
        <f>VLOOKUP(A58,GDP_LCU!A:B,2,FALSE)</f>
        <v>KAZ</v>
      </c>
      <c r="C58" s="3">
        <v>2019</v>
      </c>
      <c r="D58" s="4">
        <v>3.8730023404842218E-2</v>
      </c>
      <c r="E58" s="5">
        <f>VLOOKUP(A58,GDP_LCU!A:C,3,FALSE)</f>
        <v>69532626500000</v>
      </c>
      <c r="F58" s="3">
        <f t="shared" si="0"/>
        <v>2693000251745.1523</v>
      </c>
      <c r="G58" s="3">
        <f>IFERROR(VLOOKUP(B58,'C'!B:C,2,FALSE),"")</f>
        <v>36350861900000</v>
      </c>
      <c r="H58" s="3">
        <f>IFERROR(VLOOKUP(B58,G!B:C,2,FALSE),"")</f>
        <v>6349831800000</v>
      </c>
      <c r="I58" s="3">
        <f>IFERROR(VLOOKUP(B58,'VAT Rates'!B:C,2,FALSE),"")</f>
        <v>12</v>
      </c>
    </row>
    <row r="59" spans="1:9" x14ac:dyDescent="0.35">
      <c r="A59" s="7" t="s">
        <v>85</v>
      </c>
      <c r="B59" s="3" t="str">
        <f>VLOOKUP(A59,GDP_LCU!A:B,2,FALSE)</f>
        <v>KEN</v>
      </c>
      <c r="C59" s="3">
        <v>2019</v>
      </c>
      <c r="D59" s="4">
        <v>4.0359153209119598E-2</v>
      </c>
      <c r="E59" s="5">
        <f>VLOOKUP(A59,GDP_LCU!A:C,3,FALSE)</f>
        <v>10237727000000</v>
      </c>
      <c r="F59" s="3">
        <f t="shared" si="0"/>
        <v>413185992506.14038</v>
      </c>
      <c r="G59" s="3">
        <f>IFERROR(VLOOKUP(B59,'C'!B:C,2,FALSE),"")</f>
        <v>7926320699999.9805</v>
      </c>
      <c r="H59" s="3">
        <f>IFERROR(VLOOKUP(B59,G!B:C,2,FALSE),"")</f>
        <v>1246013100000</v>
      </c>
      <c r="I59" s="3">
        <f>IFERROR(VLOOKUP(B59,'VAT Rates'!B:C,2,FALSE),"")</f>
        <v>16</v>
      </c>
    </row>
    <row r="60" spans="1:9" x14ac:dyDescent="0.35">
      <c r="A60" s="7" t="s">
        <v>87</v>
      </c>
      <c r="B60" s="3" t="str">
        <f>VLOOKUP(A60,GDP_LCU!A:B,2,FALSE)</f>
        <v>KIR</v>
      </c>
      <c r="C60" s="3">
        <v>2019</v>
      </c>
      <c r="D60" s="4">
        <v>7.9954873174603175E-2</v>
      </c>
      <c r="E60" s="5">
        <f>VLOOKUP(A60,GDP_LCU!A:C,3,FALSE)</f>
        <v>312000000</v>
      </c>
      <c r="F60" s="3">
        <f t="shared" si="0"/>
        <v>24945920.430476192</v>
      </c>
      <c r="G60" s="3" t="str">
        <f>IFERROR(VLOOKUP(B60,'C'!B:C,2,FALSE),"")</f>
        <v/>
      </c>
      <c r="H60" s="3" t="str">
        <f>IFERROR(VLOOKUP(B60,G!B:C,2,FALSE),"")</f>
        <v/>
      </c>
      <c r="I60" s="3" t="str">
        <f>IFERROR(VLOOKUP(B60,'VAT Rates'!B:C,2,FALSE),"")</f>
        <v/>
      </c>
    </row>
    <row r="61" spans="1:9" x14ac:dyDescent="0.35">
      <c r="A61" s="7" t="s">
        <v>88</v>
      </c>
      <c r="B61" s="3" t="str">
        <f>VLOOKUP(A61,GDP_LCU!A:B,2,FALSE)</f>
        <v>KOR</v>
      </c>
      <c r="C61" s="3">
        <v>2019</v>
      </c>
      <c r="D61" s="4">
        <v>4.270997920997921E-2</v>
      </c>
      <c r="E61" s="5">
        <f>VLOOKUP(A61,GDP_LCU!A:C,3,FALSE)</f>
        <v>1924498100000000</v>
      </c>
      <c r="F61" s="3">
        <f t="shared" si="0"/>
        <v>82195273840644.484</v>
      </c>
      <c r="G61" s="3">
        <f>IFERROR(VLOOKUP(B61,'C'!B:C,2,FALSE),"")</f>
        <v>935933799999998</v>
      </c>
      <c r="H61" s="3">
        <f>IFERROR(VLOOKUP(B61,G!B:C,2,FALSE),"")</f>
        <v>328663200000000</v>
      </c>
      <c r="I61" s="3">
        <f>IFERROR(VLOOKUP(B61,'VAT Rates'!B:C,2,FALSE),"")</f>
        <v>10</v>
      </c>
    </row>
    <row r="62" spans="1:9" x14ac:dyDescent="0.35">
      <c r="A62" s="7" t="s">
        <v>89</v>
      </c>
      <c r="B62" s="3" t="str">
        <f>VLOOKUP(A62,GDP_LCU!A:B,2,FALSE)</f>
        <v>XKX</v>
      </c>
      <c r="C62" s="3">
        <v>2019</v>
      </c>
      <c r="D62" s="4">
        <v>0.11989795918367346</v>
      </c>
      <c r="E62" s="5">
        <f>VLOOKUP(A62,GDP_LCU!A:C,3,FALSE)</f>
        <v>7056171999.9999704</v>
      </c>
      <c r="F62" s="3">
        <f t="shared" si="0"/>
        <v>846020622.44897604</v>
      </c>
      <c r="G62" s="3">
        <f>IFERROR(VLOOKUP(B62,'C'!B:C,2,FALSE),"")</f>
        <v>5650903999.99998</v>
      </c>
      <c r="H62" s="3">
        <f>IFERROR(VLOOKUP(B62,G!B:C,2,FALSE),"")</f>
        <v>880994000</v>
      </c>
      <c r="I62" s="3" t="str">
        <f>IFERROR(VLOOKUP(B62,'VAT Rates'!B:C,2,FALSE),"")</f>
        <v/>
      </c>
    </row>
    <row r="63" spans="1:9" x14ac:dyDescent="0.35">
      <c r="A63" s="7" t="s">
        <v>222</v>
      </c>
      <c r="B63" s="3" t="str">
        <f>VLOOKUP(A63,GDP_LCU!A:B,2,FALSE)</f>
        <v>KGZ</v>
      </c>
      <c r="C63" s="3">
        <v>2019</v>
      </c>
      <c r="D63" s="4">
        <v>8.2235104659483152E-2</v>
      </c>
      <c r="E63" s="5">
        <f>VLOOKUP(A63,GDP_LCU!A:C,3,FALSE)</f>
        <v>654015200000</v>
      </c>
      <c r="F63" s="3">
        <f t="shared" si="0"/>
        <v>53783008420.892807</v>
      </c>
      <c r="G63" s="3">
        <f>IFERROR(VLOOKUP(B63,'C'!B:C,2,FALSE),"")</f>
        <v>505750600000</v>
      </c>
      <c r="H63" s="3">
        <f>IFERROR(VLOOKUP(B63,G!B:C,2,FALSE),"")</f>
        <v>102686800000</v>
      </c>
      <c r="I63" s="3" t="str">
        <f>IFERROR(VLOOKUP(B63,'VAT Rates'!B:C,2,FALSE),"")</f>
        <v/>
      </c>
    </row>
    <row r="64" spans="1:9" x14ac:dyDescent="0.35">
      <c r="A64" s="7" t="s">
        <v>226</v>
      </c>
      <c r="B64" s="3" t="str">
        <f>VLOOKUP(A64,GDP_LCU!A:B,2,FALSE)</f>
        <v>LAO</v>
      </c>
      <c r="C64" s="3">
        <v>2019</v>
      </c>
      <c r="D64" s="4">
        <v>3.3188228080931942E-2</v>
      </c>
      <c r="E64" s="5">
        <f>VLOOKUP(A64,GDP_LCU!A:C,3,FALSE)</f>
        <v>162657000000001</v>
      </c>
      <c r="F64" s="3">
        <f t="shared" si="0"/>
        <v>5398297614960.1797</v>
      </c>
      <c r="G64" s="3" t="str">
        <f>IFERROR(VLOOKUP(B64,'C'!B:C,2,FALSE),"")</f>
        <v/>
      </c>
      <c r="H64" s="3" t="str">
        <f>IFERROR(VLOOKUP(B64,G!B:C,2,FALSE),"")</f>
        <v/>
      </c>
      <c r="I64" s="3" t="str">
        <f>IFERROR(VLOOKUP(B64,'VAT Rates'!B:C,2,FALSE),"")</f>
        <v/>
      </c>
    </row>
    <row r="65" spans="1:9" x14ac:dyDescent="0.35">
      <c r="A65" s="7" t="s">
        <v>99</v>
      </c>
      <c r="B65" s="3" t="str">
        <f>VLOOKUP(A65,GDP_LCU!A:B,2,FALSE)</f>
        <v>LVA</v>
      </c>
      <c r="C65" s="3">
        <v>2019</v>
      </c>
      <c r="D65" s="4">
        <v>8.5801268592216984E-2</v>
      </c>
      <c r="E65" s="5">
        <f>VLOOKUP(A65,GDP_LCU!A:C,3,FALSE)</f>
        <v>30572869000.000099</v>
      </c>
      <c r="F65" s="3">
        <f t="shared" si="0"/>
        <v>2623190944.7036729</v>
      </c>
      <c r="G65" s="3">
        <f>IFERROR(VLOOKUP(B65,'C'!B:C,2,FALSE),"")</f>
        <v>17952467000.000099</v>
      </c>
      <c r="H65" s="3">
        <f>IFERROR(VLOOKUP(B65,G!B:C,2,FALSE),"")</f>
        <v>5856898000</v>
      </c>
      <c r="I65" s="3">
        <f>IFERROR(VLOOKUP(B65,'VAT Rates'!B:C,2,FALSE),"")</f>
        <v>21</v>
      </c>
    </row>
    <row r="66" spans="1:9" x14ac:dyDescent="0.35">
      <c r="A66" s="7" t="s">
        <v>91</v>
      </c>
      <c r="B66" s="3" t="str">
        <f>VLOOKUP(A66,GDP_LCU!A:B,2,FALSE)</f>
        <v>LBN</v>
      </c>
      <c r="C66" s="3">
        <v>2019</v>
      </c>
      <c r="D66" s="4">
        <v>3.6933172277919098E-2</v>
      </c>
      <c r="E66" s="5">
        <f>VLOOKUP(A66,GDP_LCU!A:C,3,FALSE)</f>
        <v>80195660489999.906</v>
      </c>
      <c r="F66" s="3">
        <f t="shared" si="0"/>
        <v>2961880144818.6763</v>
      </c>
      <c r="G66" s="3">
        <f>IFERROR(VLOOKUP(B66,'C'!B:C,2,FALSE),"")</f>
        <v>75089715347999.906</v>
      </c>
      <c r="H66" s="3">
        <f>IFERROR(VLOOKUP(B66,G!B:C,2,FALSE),"")</f>
        <v>12534408093000</v>
      </c>
      <c r="I66" s="3">
        <f>IFERROR(VLOOKUP(B66,'VAT Rates'!B:C,2,FALSE),"")</f>
        <v>11</v>
      </c>
    </row>
    <row r="67" spans="1:9" x14ac:dyDescent="0.35">
      <c r="A67" s="7" t="s">
        <v>96</v>
      </c>
      <c r="B67" s="3" t="str">
        <f>VLOOKUP(A67,GDP_LCU!A:B,2,FALSE)</f>
        <v>LSO</v>
      </c>
      <c r="C67" s="3">
        <v>2019</v>
      </c>
      <c r="D67" s="4">
        <v>8.2781983367509679E-2</v>
      </c>
      <c r="E67" s="5">
        <f>VLOOKUP(A67,GDP_LCU!A:C,3,FALSE)</f>
        <v>34541887600</v>
      </c>
      <c r="F67" s="3">
        <f t="shared" ref="F67:F125" si="1">D67*E67</f>
        <v>2859445964.7855887</v>
      </c>
      <c r="G67" s="3">
        <f>IFERROR(VLOOKUP(B67,'C'!B:C,2,FALSE),"")</f>
        <v>28880782900</v>
      </c>
      <c r="H67" s="3">
        <f>IFERROR(VLOOKUP(B67,G!B:C,2,FALSE),"")</f>
        <v>13019725600</v>
      </c>
      <c r="I67" s="3" t="str">
        <f>IFERROR(VLOOKUP(B67,'VAT Rates'!B:C,2,FALSE),"")</f>
        <v/>
      </c>
    </row>
    <row r="68" spans="1:9" x14ac:dyDescent="0.35">
      <c r="A68" s="7" t="s">
        <v>94</v>
      </c>
      <c r="B68" s="3" t="str">
        <f>VLOOKUP(A68,GDP_LCU!A:B,2,FALSE)</f>
        <v>LIE</v>
      </c>
      <c r="C68" s="3">
        <v>2019</v>
      </c>
      <c r="D68" s="4">
        <v>3.4972796721318589E-2</v>
      </c>
      <c r="E68" s="5">
        <f>VLOOKUP(A68,GDP_LCU!A:C,3,FALSE)</f>
        <v>0</v>
      </c>
      <c r="F68" s="3">
        <f t="shared" si="1"/>
        <v>0</v>
      </c>
      <c r="G68" s="3" t="str">
        <f>IFERROR(VLOOKUP(B68,'C'!B:C,2,FALSE),"")</f>
        <v/>
      </c>
      <c r="H68" s="3" t="str">
        <f>IFERROR(VLOOKUP(B68,G!B:C,2,FALSE),"")</f>
        <v/>
      </c>
      <c r="I68" s="3">
        <f>IFERROR(VLOOKUP(B68,'VAT Rates'!B:C,2,FALSE),"")</f>
        <v>7.7</v>
      </c>
    </row>
    <row r="69" spans="1:9" x14ac:dyDescent="0.35">
      <c r="A69" s="7" t="s">
        <v>97</v>
      </c>
      <c r="B69" s="3" t="str">
        <f>VLOOKUP(A69,GDP_LCU!A:B,2,FALSE)</f>
        <v>LTU</v>
      </c>
      <c r="C69" s="3">
        <v>2019</v>
      </c>
      <c r="D69" s="4">
        <v>7.8722866985270812E-2</v>
      </c>
      <c r="E69" s="5">
        <f>VLOOKUP(A69,GDP_LCU!A:C,3,FALSE)</f>
        <v>48959160000.000099</v>
      </c>
      <c r="F69" s="3">
        <f t="shared" si="1"/>
        <v>3854205440.3905993</v>
      </c>
      <c r="G69" s="3">
        <f>IFERROR(VLOOKUP(B69,'C'!B:C,2,FALSE),"")</f>
        <v>29381368000</v>
      </c>
      <c r="H69" s="3">
        <f>IFERROR(VLOOKUP(B69,G!B:C,2,FALSE),"")</f>
        <v>8270196000</v>
      </c>
      <c r="I69" s="3">
        <f>IFERROR(VLOOKUP(B69,'VAT Rates'!B:C,2,FALSE),"")</f>
        <v>21</v>
      </c>
    </row>
    <row r="70" spans="1:9" x14ac:dyDescent="0.35">
      <c r="A70" s="7" t="s">
        <v>98</v>
      </c>
      <c r="B70" s="3" t="str">
        <f>VLOOKUP(A70,GDP_LCU!A:B,2,FALSE)</f>
        <v>LUX</v>
      </c>
      <c r="C70" s="3">
        <v>2019</v>
      </c>
      <c r="D70" s="4">
        <v>5.8312804708041413E-2</v>
      </c>
      <c r="E70" s="5">
        <f>VLOOKUP(A70,GDP_LCU!A:C,3,FALSE)</f>
        <v>62431529000</v>
      </c>
      <c r="F70" s="3">
        <f t="shared" si="1"/>
        <v>3640557558.2014241</v>
      </c>
      <c r="G70" s="3">
        <f>IFERROR(VLOOKUP(B70,'C'!B:C,2,FALSE),"")</f>
        <v>20972709000</v>
      </c>
      <c r="H70" s="3">
        <f>IFERROR(VLOOKUP(B70,G!B:C,2,FALSE),"")</f>
        <v>10762564000</v>
      </c>
      <c r="I70" s="3">
        <f>IFERROR(VLOOKUP(B70,'VAT Rates'!B:C,2,FALSE),"")</f>
        <v>17</v>
      </c>
    </row>
    <row r="71" spans="1:9" x14ac:dyDescent="0.35">
      <c r="A71" s="7" t="s">
        <v>101</v>
      </c>
      <c r="B71" s="3" t="str">
        <f>VLOOKUP(A71,GDP_LCU!A:B,2,FALSE)</f>
        <v>MDG</v>
      </c>
      <c r="C71" s="3">
        <v>2019</v>
      </c>
      <c r="D71" s="4">
        <v>5.5080661261810646E-2</v>
      </c>
      <c r="E71" s="5">
        <f>VLOOKUP(A71,GDP_LCU!A:C,3,FALSE)</f>
        <v>51035216506000</v>
      </c>
      <c r="F71" s="3">
        <f t="shared" si="1"/>
        <v>2811053472790.1533</v>
      </c>
      <c r="G71" s="3">
        <f>IFERROR(VLOOKUP(B71,'C'!B:C,2,FALSE),"")</f>
        <v>36182293043000</v>
      </c>
      <c r="H71" s="3">
        <f>IFERROR(VLOOKUP(B71,G!B:C,2,FALSE),"")</f>
        <v>7709440605200</v>
      </c>
      <c r="I71" s="3" t="str">
        <f>IFERROR(VLOOKUP(B71,'VAT Rates'!B:C,2,FALSE),"")</f>
        <v/>
      </c>
    </row>
    <row r="72" spans="1:9" x14ac:dyDescent="0.35">
      <c r="A72" s="7" t="s">
        <v>114</v>
      </c>
      <c r="B72" s="3" t="str">
        <f>VLOOKUP(A72,GDP_LCU!A:B,2,FALSE)</f>
        <v>MWI</v>
      </c>
      <c r="C72" s="3">
        <v>2019</v>
      </c>
      <c r="D72" s="4">
        <v>3.5028146559611589E-2</v>
      </c>
      <c r="E72" s="5">
        <f>VLOOKUP(A72,GDP_LCU!A:C,3,FALSE)</f>
        <v>8258572000000.0098</v>
      </c>
      <c r="F72" s="3">
        <f t="shared" si="1"/>
        <v>289282470389.10492</v>
      </c>
      <c r="G72" s="3" t="str">
        <f>IFERROR(VLOOKUP(B72,'C'!B:C,2,FALSE),"")</f>
        <v/>
      </c>
      <c r="H72" s="3" t="str">
        <f>IFERROR(VLOOKUP(B72,G!B:C,2,FALSE),"")</f>
        <v/>
      </c>
      <c r="I72" s="3">
        <f>IFERROR(VLOOKUP(B72,'VAT Rates'!B:C,2,FALSE),"")</f>
        <v>16.5</v>
      </c>
    </row>
    <row r="73" spans="1:9" x14ac:dyDescent="0.35">
      <c r="A73" s="7" t="s">
        <v>106</v>
      </c>
      <c r="B73" s="3" t="str">
        <f>VLOOKUP(A73,GDP_LCU!A:B,2,FALSE)</f>
        <v>MLI</v>
      </c>
      <c r="C73" s="3">
        <v>2019</v>
      </c>
      <c r="D73" s="4">
        <v>5.442142469758824E-2</v>
      </c>
      <c r="E73" s="5">
        <f>VLOOKUP(A73,GDP_LCU!A:C,3,FALSE)</f>
        <v>10124689257000</v>
      </c>
      <c r="F73" s="3">
        <f t="shared" si="1"/>
        <v>551000013986.30615</v>
      </c>
      <c r="G73" s="3">
        <f>IFERROR(VLOOKUP(B73,'C'!B:C,2,FALSE),"")</f>
        <v>7489569605100.0195</v>
      </c>
      <c r="H73" s="3">
        <f>IFERROR(VLOOKUP(B73,G!B:C,2,FALSE),"")</f>
        <v>1593940941100</v>
      </c>
      <c r="I73" s="3" t="str">
        <f>IFERROR(VLOOKUP(B73,'VAT Rates'!B:C,2,FALSE),"")</f>
        <v/>
      </c>
    </row>
    <row r="74" spans="1:9" x14ac:dyDescent="0.35">
      <c r="A74" s="7" t="s">
        <v>107</v>
      </c>
      <c r="B74" s="3" t="str">
        <f>VLOOKUP(A74,GDP_LCU!A:B,2,FALSE)</f>
        <v>MLT</v>
      </c>
      <c r="C74" s="3">
        <v>2019</v>
      </c>
      <c r="D74" s="4">
        <v>6.5862047088678974E-2</v>
      </c>
      <c r="E74" s="5">
        <f>VLOOKUP(A74,GDP_LCU!A:C,3,FALSE)</f>
        <v>14296492809.6106</v>
      </c>
      <c r="F74" s="3">
        <f t="shared" si="1"/>
        <v>941596282.62953365</v>
      </c>
      <c r="G74" s="3">
        <f>IFERROR(VLOOKUP(B74,'C'!B:C,2,FALSE),"")</f>
        <v>6382835618.9467096</v>
      </c>
      <c r="H74" s="3">
        <f>IFERROR(VLOOKUP(B74,G!B:C,2,FALSE),"")</f>
        <v>2333176516.00635</v>
      </c>
      <c r="I74" s="3">
        <f>IFERROR(VLOOKUP(B74,'VAT Rates'!B:C,2,FALSE),"")</f>
        <v>18</v>
      </c>
    </row>
    <row r="75" spans="1:9" x14ac:dyDescent="0.35">
      <c r="A75" s="7" t="s">
        <v>113</v>
      </c>
      <c r="B75" s="3" t="str">
        <f>VLOOKUP(A75,GDP_LCU!A:B,2,FALSE)</f>
        <v>MUS</v>
      </c>
      <c r="C75" s="3">
        <v>2019</v>
      </c>
      <c r="D75" s="4">
        <v>6.8229943683754207E-2</v>
      </c>
      <c r="E75" s="5">
        <f>VLOOKUP(A75,GDP_LCU!A:C,3,FALSE)</f>
        <v>512108000000</v>
      </c>
      <c r="F75" s="3">
        <f t="shared" si="1"/>
        <v>34941100000</v>
      </c>
      <c r="G75" s="3">
        <f>IFERROR(VLOOKUP(B75,'C'!B:C,2,FALSE),"")</f>
        <v>375746000000</v>
      </c>
      <c r="H75" s="3">
        <f>IFERROR(VLOOKUP(B75,G!B:C,2,FALSE),"")</f>
        <v>75534000000</v>
      </c>
      <c r="I75" s="3">
        <f>IFERROR(VLOOKUP(B75,'VAT Rates'!B:C,2,FALSE),"")</f>
        <v>15</v>
      </c>
    </row>
    <row r="76" spans="1:9" x14ac:dyDescent="0.35">
      <c r="A76" s="7" t="s">
        <v>103</v>
      </c>
      <c r="B76" s="3" t="str">
        <f>VLOOKUP(A76,GDP_LCU!A:B,2,FALSE)</f>
        <v>MEX</v>
      </c>
      <c r="C76" s="3">
        <v>2019</v>
      </c>
      <c r="D76" s="4">
        <v>3.817953315782896E-2</v>
      </c>
      <c r="E76" s="5">
        <f>VLOOKUP(A76,GDP_LCU!A:C,3,FALSE)</f>
        <v>25143108308000</v>
      </c>
      <c r="F76" s="3">
        <f t="shared" si="1"/>
        <v>959952137336.17078</v>
      </c>
      <c r="G76" s="3">
        <f>IFERROR(VLOOKUP(B76,'C'!B:C,2,FALSE),"")</f>
        <v>16999858365000</v>
      </c>
      <c r="H76" s="3">
        <f>IFERROR(VLOOKUP(B76,G!B:C,2,FALSE),"")</f>
        <v>2790507790000</v>
      </c>
      <c r="I76" s="3">
        <f>IFERROR(VLOOKUP(B76,'VAT Rates'!B:C,2,FALSE),"")</f>
        <v>16</v>
      </c>
    </row>
    <row r="77" spans="1:9" x14ac:dyDescent="0.35">
      <c r="A77" s="7" t="s">
        <v>237</v>
      </c>
      <c r="B77" s="3" t="str">
        <f>VLOOKUP(A77,GDP_LCU!A:B,2,FALSE)</f>
        <v>MDA</v>
      </c>
      <c r="C77" s="3">
        <v>2019</v>
      </c>
      <c r="D77" s="4">
        <v>9.7855577534714133E-2</v>
      </c>
      <c r="E77" s="5">
        <f>VLOOKUP(A77,GDP_LCU!A:C,3,FALSE)</f>
        <v>206256239199.99899</v>
      </c>
      <c r="F77" s="3">
        <f t="shared" si="1"/>
        <v>20183323407.054047</v>
      </c>
      <c r="G77" s="3">
        <f>IFERROR(VLOOKUP(B77,'C'!B:C,2,FALSE),"")</f>
        <v>175184529999.99899</v>
      </c>
      <c r="H77" s="3">
        <f>IFERROR(VLOOKUP(B77,G!B:C,2,FALSE),"")</f>
        <v>31373679300</v>
      </c>
      <c r="I77" s="3" t="str">
        <f>IFERROR(VLOOKUP(B77,'VAT Rates'!B:C,2,FALSE),"")</f>
        <v/>
      </c>
    </row>
    <row r="78" spans="1:9" x14ac:dyDescent="0.35">
      <c r="A78" s="7" t="s">
        <v>110</v>
      </c>
      <c r="B78" s="3" t="str">
        <f>VLOOKUP(A78,GDP_LCU!A:B,2,FALSE)</f>
        <v>MNG</v>
      </c>
      <c r="C78" s="3">
        <v>2019</v>
      </c>
      <c r="D78" s="4">
        <v>6.564616479327999E-2</v>
      </c>
      <c r="E78" s="5">
        <f>VLOOKUP(A78,GDP_LCU!A:C,3,FALSE)</f>
        <v>37839225358000.102</v>
      </c>
      <c r="F78" s="3">
        <f t="shared" si="1"/>
        <v>2484000023501.3335</v>
      </c>
      <c r="G78" s="3">
        <f>IFERROR(VLOOKUP(B78,'C'!B:C,2,FALSE),"")</f>
        <v>21667587373000</v>
      </c>
      <c r="H78" s="3">
        <f>IFERROR(VLOOKUP(B78,G!B:C,2,FALSE),"")</f>
        <v>4959952364700</v>
      </c>
      <c r="I78" s="3">
        <f>IFERROR(VLOOKUP(B78,'VAT Rates'!B:C,2,FALSE),"")</f>
        <v>10</v>
      </c>
    </row>
    <row r="79" spans="1:9" x14ac:dyDescent="0.35">
      <c r="A79" s="7" t="s">
        <v>109</v>
      </c>
      <c r="B79" s="3" t="str">
        <f>VLOOKUP(A79,GDP_LCU!A:B,2,FALSE)</f>
        <v>MNE</v>
      </c>
      <c r="C79" s="3">
        <v>2019</v>
      </c>
      <c r="D79" s="4">
        <v>0.14057766107856998</v>
      </c>
      <c r="E79" s="5">
        <f>VLOOKUP(A79,GDP_LCU!A:C,3,FALSE)</f>
        <v>4950716999.99998</v>
      </c>
      <c r="F79" s="3">
        <f t="shared" si="1"/>
        <v>695960216.52191186</v>
      </c>
      <c r="G79" s="3">
        <f>IFERROR(VLOOKUP(B79,'C'!B:C,2,FALSE),"")</f>
        <v>3533603999.99999</v>
      </c>
      <c r="H79" s="3">
        <f>IFERROR(VLOOKUP(B79,G!B:C,2,FALSE),"")</f>
        <v>881124000</v>
      </c>
      <c r="I79" s="3">
        <f>IFERROR(VLOOKUP(B79,'VAT Rates'!B:C,2,FALSE),"")</f>
        <v>21</v>
      </c>
    </row>
    <row r="80" spans="1:9" x14ac:dyDescent="0.35">
      <c r="A80" s="7" t="s">
        <v>100</v>
      </c>
      <c r="B80" s="3" t="str">
        <f>VLOOKUP(A80,GDP_LCU!A:B,2,FALSE)</f>
        <v>MAR</v>
      </c>
      <c r="C80" s="3">
        <v>2019</v>
      </c>
      <c r="D80" s="4">
        <v>7.0734056762345995E-2</v>
      </c>
      <c r="E80" s="5">
        <f>VLOOKUP(A80,GDP_LCU!A:C,3,FALSE)</f>
        <v>1239835999999.99</v>
      </c>
      <c r="F80" s="3">
        <f t="shared" si="1"/>
        <v>87698629999.999298</v>
      </c>
      <c r="G80" s="3">
        <f>IFERROR(VLOOKUP(B80,'C'!B:C,2,FALSE),"")</f>
        <v>731975999999.99695</v>
      </c>
      <c r="H80" s="3">
        <f>IFERROR(VLOOKUP(B80,G!B:C,2,FALSE),"")</f>
        <v>225389000000</v>
      </c>
      <c r="I80" s="3">
        <f>IFERROR(VLOOKUP(B80,'VAT Rates'!B:C,2,FALSE),"")</f>
        <v>20</v>
      </c>
    </row>
    <row r="81" spans="1:9" x14ac:dyDescent="0.35">
      <c r="A81" s="7" t="s">
        <v>111</v>
      </c>
      <c r="B81" s="3" t="str">
        <f>VLOOKUP(A81,GDP_LCU!A:B,2,FALSE)</f>
        <v>MOZ</v>
      </c>
      <c r="C81" s="3">
        <v>2019</v>
      </c>
      <c r="D81" s="4">
        <v>6.6607068617867263E-2</v>
      </c>
      <c r="E81" s="5">
        <f>VLOOKUP(A81,GDP_LCU!A:C,3,FALSE)</f>
        <v>970297218635.56299</v>
      </c>
      <c r="F81" s="3">
        <f t="shared" si="1"/>
        <v>64628653421.384697</v>
      </c>
      <c r="G81" s="3">
        <f>IFERROR(VLOOKUP(B81,'C'!B:C,2,FALSE),"")</f>
        <v>658693472700.00305</v>
      </c>
      <c r="H81" s="3">
        <f>IFERROR(VLOOKUP(B81,G!B:C,2,FALSE),"")</f>
        <v>219046507800</v>
      </c>
      <c r="I81" s="3">
        <f>IFERROR(VLOOKUP(B81,'VAT Rates'!B:C,2,FALSE),"")</f>
        <v>17</v>
      </c>
    </row>
    <row r="82" spans="1:9" x14ac:dyDescent="0.35">
      <c r="A82" s="7" t="s">
        <v>116</v>
      </c>
      <c r="B82" s="3" t="str">
        <f>VLOOKUP(A82,GDP_LCU!A:B,2,FALSE)</f>
        <v>NAM</v>
      </c>
      <c r="C82" s="3">
        <v>2019</v>
      </c>
      <c r="D82" s="4">
        <v>7.1734055879609959E-2</v>
      </c>
      <c r="E82" s="5">
        <f>VLOOKUP(A82,GDP_LCU!A:C,3,FALSE)</f>
        <v>181210794000</v>
      </c>
      <c r="F82" s="3">
        <f t="shared" si="1"/>
        <v>12998985222.784489</v>
      </c>
      <c r="G82" s="3">
        <f>IFERROR(VLOOKUP(B82,'C'!B:C,2,FALSE),"")</f>
        <v>125426273400</v>
      </c>
      <c r="H82" s="3">
        <f>IFERROR(VLOOKUP(B82,G!B:C,2,FALSE),"")</f>
        <v>46307027300</v>
      </c>
      <c r="I82" s="3">
        <f>IFERROR(VLOOKUP(B82,'VAT Rates'!B:C,2,FALSE),"")</f>
        <v>15</v>
      </c>
    </row>
    <row r="83" spans="1:9" x14ac:dyDescent="0.35">
      <c r="A83" s="7" t="s">
        <v>122</v>
      </c>
      <c r="B83" s="3" t="str">
        <f>VLOOKUP(A83,GDP_LCU!A:B,2,FALSE)</f>
        <v>NPL</v>
      </c>
      <c r="C83" s="3">
        <v>2019</v>
      </c>
      <c r="D83" s="4">
        <v>5.8047178881192457E-2</v>
      </c>
      <c r="E83" s="5">
        <f>VLOOKUP(A83,GDP_LCU!A:C,3,FALSE)</f>
        <v>3858930402400</v>
      </c>
      <c r="F83" s="3">
        <f t="shared" si="1"/>
        <v>224000023358.18478</v>
      </c>
      <c r="G83" s="3">
        <f>IFERROR(VLOOKUP(B83,'C'!B:C,2,FALSE),"")</f>
        <v>2955149511100</v>
      </c>
      <c r="H83" s="3">
        <f>IFERROR(VLOOKUP(B83,G!B:C,2,FALSE),"")</f>
        <v>313233054900</v>
      </c>
      <c r="I83" s="3" t="str">
        <f>IFERROR(VLOOKUP(B83,'VAT Rates'!B:C,2,FALSE),"")</f>
        <v/>
      </c>
    </row>
    <row r="84" spans="1:9" x14ac:dyDescent="0.35">
      <c r="A84" s="7" t="s">
        <v>120</v>
      </c>
      <c r="B84" s="3" t="str">
        <f>VLOOKUP(A84,GDP_LCU!A:B,2,FALSE)</f>
        <v>NLD</v>
      </c>
      <c r="C84" s="3">
        <v>2019</v>
      </c>
      <c r="D84" s="4">
        <v>7.1477329331964018E-2</v>
      </c>
      <c r="E84" s="5">
        <f>VLOOKUP(A84,GDP_LCU!A:C,3,FALSE)</f>
        <v>813055000000.00098</v>
      </c>
      <c r="F84" s="3">
        <f t="shared" si="1"/>
        <v>58115000000.000076</v>
      </c>
      <c r="G84" s="3">
        <f>IFERROR(VLOOKUP(B84,'C'!B:C,2,FALSE),"")</f>
        <v>353547000000</v>
      </c>
      <c r="H84" s="3">
        <f>IFERROR(VLOOKUP(B84,G!B:C,2,FALSE),"")</f>
        <v>200134000000</v>
      </c>
      <c r="I84" s="3">
        <f>IFERROR(VLOOKUP(B84,'VAT Rates'!B:C,2,FALSE),"")</f>
        <v>21</v>
      </c>
    </row>
    <row r="85" spans="1:9" x14ac:dyDescent="0.35">
      <c r="A85" s="7" t="s">
        <v>124</v>
      </c>
      <c r="B85" s="3" t="str">
        <f>VLOOKUP(A85,GDP_LCU!A:B,2,FALSE)</f>
        <v>NZL</v>
      </c>
      <c r="C85" s="3">
        <v>2019</v>
      </c>
      <c r="D85" s="4">
        <v>9.4623541589140131E-2</v>
      </c>
      <c r="E85" s="5">
        <f>VLOOKUP(A85,GDP_LCU!A:C,3,FALSE)</f>
        <v>323075000000</v>
      </c>
      <c r="F85" s="3">
        <f t="shared" si="1"/>
        <v>30570500698.911449</v>
      </c>
      <c r="G85" s="3">
        <f>IFERROR(VLOOKUP(B85,'C'!B:C,2,FALSE),"")</f>
        <v>184853000000</v>
      </c>
      <c r="H85" s="3">
        <f>IFERROR(VLOOKUP(B85,G!B:C,2,FALSE),"")</f>
        <v>60952000000</v>
      </c>
      <c r="I85" s="3">
        <f>IFERROR(VLOOKUP(B85,'VAT Rates'!B:C,2,FALSE),"")</f>
        <v>15</v>
      </c>
    </row>
    <row r="86" spans="1:9" x14ac:dyDescent="0.35">
      <c r="A86" s="7" t="s">
        <v>119</v>
      </c>
      <c r="B86" s="3" t="str">
        <f>VLOOKUP(A86,GDP_LCU!A:B,2,FALSE)</f>
        <v>NIC</v>
      </c>
      <c r="C86" s="3">
        <v>2019</v>
      </c>
      <c r="D86" s="4">
        <v>5.7800086262322546E-2</v>
      </c>
      <c r="E86" s="5">
        <f>VLOOKUP(A86,GDP_LCU!A:C,3,FALSE)</f>
        <v>420614000000</v>
      </c>
      <c r="F86" s="3">
        <f t="shared" si="1"/>
        <v>24311525483.140537</v>
      </c>
      <c r="G86" s="3">
        <f>IFERROR(VLOOKUP(B86,'C'!B:C,2,FALSE),"")</f>
        <v>300273000000</v>
      </c>
      <c r="H86" s="3">
        <f>IFERROR(VLOOKUP(B86,G!B:C,2,FALSE),"")</f>
        <v>63987000000</v>
      </c>
      <c r="I86" s="3">
        <f>IFERROR(VLOOKUP(B86,'VAT Rates'!B:C,2,FALSE),"")</f>
        <v>15</v>
      </c>
    </row>
    <row r="87" spans="1:9" x14ac:dyDescent="0.35">
      <c r="A87" s="7" t="s">
        <v>117</v>
      </c>
      <c r="B87" s="3" t="str">
        <f>VLOOKUP(A87,GDP_LCU!A:B,2,FALSE)</f>
        <v>NER</v>
      </c>
      <c r="C87" s="3">
        <v>2019</v>
      </c>
      <c r="D87" s="4">
        <v>3.5609387181384532E-2</v>
      </c>
      <c r="E87" s="5">
        <f>VLOOKUP(A87,GDP_LCU!A:C,3,FALSE)</f>
        <v>7552132556000.0303</v>
      </c>
      <c r="F87" s="3">
        <f t="shared" si="1"/>
        <v>268926812231.74426</v>
      </c>
      <c r="G87" s="3">
        <f>IFERROR(VLOOKUP(B87,'C'!B:C,2,FALSE),"")</f>
        <v>5194600358100.0195</v>
      </c>
      <c r="H87" s="3">
        <f>IFERROR(VLOOKUP(B87,G!B:C,2,FALSE),"")</f>
        <v>1182294273100</v>
      </c>
      <c r="I87" s="3" t="str">
        <f>IFERROR(VLOOKUP(B87,'VAT Rates'!B:C,2,FALSE),"")</f>
        <v/>
      </c>
    </row>
    <row r="88" spans="1:9" x14ac:dyDescent="0.35">
      <c r="A88" s="7" t="s">
        <v>118</v>
      </c>
      <c r="B88" s="3" t="str">
        <f>VLOOKUP(A88,GDP_LCU!A:B,2,FALSE)</f>
        <v>NGA</v>
      </c>
      <c r="C88" s="3">
        <v>2019</v>
      </c>
      <c r="D88" s="4">
        <v>8.049450549450549E-3</v>
      </c>
      <c r="E88" s="5">
        <f>VLOOKUP(A88,GDP_LCU!A:C,3,FALSE)</f>
        <v>145639139380000</v>
      </c>
      <c r="F88" s="3">
        <f t="shared" si="1"/>
        <v>1172315050503.8462</v>
      </c>
      <c r="G88" s="3" t="str">
        <f>IFERROR(VLOOKUP(B88,'C'!B:C,2,FALSE),"")</f>
        <v/>
      </c>
      <c r="H88" s="3" t="str">
        <f>IFERROR(VLOOKUP(B88,G!B:C,2,FALSE),"")</f>
        <v/>
      </c>
      <c r="I88" s="3">
        <f>IFERROR(VLOOKUP(B88,'VAT Rates'!B:C,2,FALSE),"")</f>
        <v>5</v>
      </c>
    </row>
    <row r="89" spans="1:9" x14ac:dyDescent="0.35">
      <c r="A89" s="7" t="s">
        <v>105</v>
      </c>
      <c r="B89" s="3" t="str">
        <f>VLOOKUP(A89,GDP_LCU!A:B,2,FALSE)</f>
        <v>MKD</v>
      </c>
      <c r="C89" s="3">
        <v>2019</v>
      </c>
      <c r="D89" s="4">
        <v>7.5214780787171046E-2</v>
      </c>
      <c r="E89" s="5">
        <f>VLOOKUP(A89,GDP_LCU!A:C,3,FALSE)</f>
        <v>692683000000.00098</v>
      </c>
      <c r="F89" s="3">
        <f t="shared" si="1"/>
        <v>52100000000.000076</v>
      </c>
      <c r="G89" s="3">
        <f>IFERROR(VLOOKUP(B89,'C'!B:C,2,FALSE),"")</f>
        <v>453725000000.00098</v>
      </c>
      <c r="H89" s="3">
        <f>IFERROR(VLOOKUP(B89,G!B:C,2,FALSE),"")</f>
        <v>96958000000</v>
      </c>
      <c r="I89" s="3">
        <f>IFERROR(VLOOKUP(B89,'VAT Rates'!B:C,2,FALSE),"")</f>
        <v>18</v>
      </c>
    </row>
    <row r="90" spans="1:9" x14ac:dyDescent="0.35">
      <c r="A90" s="7" t="s">
        <v>121</v>
      </c>
      <c r="B90" s="3" t="str">
        <f>VLOOKUP(A90,GDP_LCU!A:B,2,FALSE)</f>
        <v>NOR</v>
      </c>
      <c r="C90" s="3">
        <v>2019</v>
      </c>
      <c r="D90" s="4">
        <v>8.5350420468976923E-2</v>
      </c>
      <c r="E90" s="5">
        <f>VLOOKUP(A90,GDP_LCU!A:C,3,FALSE)</f>
        <v>3596937000000.0098</v>
      </c>
      <c r="F90" s="3">
        <f t="shared" si="1"/>
        <v>307000085350.42126</v>
      </c>
      <c r="G90" s="3">
        <f>IFERROR(VLOOKUP(B90,'C'!B:C,2,FALSE),"")</f>
        <v>1579019000000.01</v>
      </c>
      <c r="H90" s="3">
        <f>IFERROR(VLOOKUP(B90,G!B:C,2,FALSE),"")</f>
        <v>866988000000</v>
      </c>
      <c r="I90" s="3">
        <f>IFERROR(VLOOKUP(B90,'VAT Rates'!B:C,2,FALSE),"")</f>
        <v>25</v>
      </c>
    </row>
    <row r="91" spans="1:9" x14ac:dyDescent="0.35">
      <c r="A91" s="7" t="s">
        <v>126</v>
      </c>
      <c r="B91" s="3" t="str">
        <f>VLOOKUP(A91,GDP_LCU!A:B,2,FALSE)</f>
        <v>PAK</v>
      </c>
      <c r="C91" s="3">
        <v>2019</v>
      </c>
      <c r="D91" s="4">
        <v>3.6458431439083817E-2</v>
      </c>
      <c r="E91" s="5">
        <f>VLOOKUP(A91,GDP_LCU!A:C,3,FALSE)</f>
        <v>43798401000000.203</v>
      </c>
      <c r="F91" s="3">
        <f t="shared" si="1"/>
        <v>1596821000000.0076</v>
      </c>
      <c r="G91" s="3">
        <f>IFERROR(VLOOKUP(B91,'C'!B:C,2,FALSE),"")</f>
        <v>36735669000000.102</v>
      </c>
      <c r="H91" s="3">
        <f>IFERROR(VLOOKUP(B91,G!B:C,2,FALSE),"")</f>
        <v>4708220000000</v>
      </c>
      <c r="I91" s="3">
        <f>IFERROR(VLOOKUP(B91,'VAT Rates'!B:C,2,FALSE),"")</f>
        <v>17</v>
      </c>
    </row>
    <row r="92" spans="1:9" x14ac:dyDescent="0.35">
      <c r="A92" s="7" t="s">
        <v>134</v>
      </c>
      <c r="B92" s="3" t="str">
        <f>VLOOKUP(A92,GDP_LCU!A:B,2,FALSE)</f>
        <v>PRY</v>
      </c>
      <c r="C92" s="3">
        <v>2019</v>
      </c>
      <c r="D92" s="4">
        <v>4.9389142130637935E-2</v>
      </c>
      <c r="E92" s="5">
        <f>VLOOKUP(A92,GDP_LCU!A:C,3,FALSE)</f>
        <v>236681497060700</v>
      </c>
      <c r="F92" s="3">
        <f t="shared" si="1"/>
        <v>11689496098023.076</v>
      </c>
      <c r="G92" s="3">
        <f>IFERROR(VLOOKUP(B92,'C'!B:C,2,FALSE),"")</f>
        <v>154827566980300</v>
      </c>
      <c r="H92" s="3">
        <f>IFERROR(VLOOKUP(B92,G!B:C,2,FALSE),"")</f>
        <v>28274607616000</v>
      </c>
      <c r="I92" s="3">
        <f>IFERROR(VLOOKUP(B92,'VAT Rates'!B:C,2,FALSE),"")</f>
        <v>10</v>
      </c>
    </row>
    <row r="93" spans="1:9" x14ac:dyDescent="0.35">
      <c r="A93" s="7" t="s">
        <v>128</v>
      </c>
      <c r="B93" s="3" t="str">
        <f>VLOOKUP(A93,GDP_LCU!A:B,2,FALSE)</f>
        <v>PER</v>
      </c>
      <c r="C93" s="3">
        <v>2019</v>
      </c>
      <c r="D93" s="4">
        <v>6.3453731135379013E-2</v>
      </c>
      <c r="E93" s="5">
        <f>VLOOKUP(A93,GDP_LCU!A:C,3,FALSE)</f>
        <v>761983999999.99902</v>
      </c>
      <c r="F93" s="3">
        <f t="shared" si="1"/>
        <v>48350727865.460579</v>
      </c>
      <c r="G93" s="3">
        <f>IFERROR(VLOOKUP(B93,'C'!B:C,2,FALSE),"")</f>
        <v>493669000000</v>
      </c>
      <c r="H93" s="3">
        <f>IFERROR(VLOOKUP(B93,G!B:C,2,FALSE),"")</f>
        <v>100920000000</v>
      </c>
      <c r="I93" s="3">
        <f>IFERROR(VLOOKUP(B93,'VAT Rates'!B:C,2,FALSE),"")</f>
        <v>18</v>
      </c>
    </row>
    <row r="94" spans="1:9" x14ac:dyDescent="0.35">
      <c r="A94" s="7" t="s">
        <v>129</v>
      </c>
      <c r="B94" s="3" t="str">
        <f>VLOOKUP(A94,GDP_LCU!A:B,2,FALSE)</f>
        <v>PHL</v>
      </c>
      <c r="C94" s="3">
        <v>2019</v>
      </c>
      <c r="D94" s="4">
        <v>1.9801193409278803E-2</v>
      </c>
      <c r="E94" s="5">
        <f>VLOOKUP(A94,GDP_LCU!A:C,3,FALSE)</f>
        <v>19517863171999.898</v>
      </c>
      <c r="F94" s="3">
        <f t="shared" si="1"/>
        <v>386476983604.60986</v>
      </c>
      <c r="G94" s="3">
        <f>IFERROR(VLOOKUP(B94,'C'!B:C,2,FALSE),"")</f>
        <v>14288332663000</v>
      </c>
      <c r="H94" s="3">
        <f>IFERROR(VLOOKUP(B94,G!B:C,2,FALSE),"")</f>
        <v>2433439250300</v>
      </c>
      <c r="I94" s="3">
        <f>IFERROR(VLOOKUP(B94,'VAT Rates'!B:C,2,FALSE),"")</f>
        <v>12</v>
      </c>
    </row>
    <row r="95" spans="1:9" x14ac:dyDescent="0.35">
      <c r="A95" s="7" t="s">
        <v>132</v>
      </c>
      <c r="B95" s="3" t="str">
        <f>VLOOKUP(A95,GDP_LCU!A:B,2,FALSE)</f>
        <v>POL</v>
      </c>
      <c r="C95" s="3">
        <v>2019</v>
      </c>
      <c r="D95" s="4">
        <v>7.9592587607909493E-2</v>
      </c>
      <c r="E95" s="5">
        <f>VLOOKUP(A95,GDP_LCU!A:C,3,FALSE)</f>
        <v>2288492000000</v>
      </c>
      <c r="F95" s="3">
        <f t="shared" si="1"/>
        <v>182147000000</v>
      </c>
      <c r="G95" s="3">
        <f>IFERROR(VLOOKUP(B95,'C'!B:C,2,FALSE),"")</f>
        <v>1322280000000</v>
      </c>
      <c r="H95" s="3">
        <f>IFERROR(VLOOKUP(B95,G!B:C,2,FALSE),"")</f>
        <v>412432000000</v>
      </c>
      <c r="I95" s="3">
        <f>IFERROR(VLOOKUP(B95,'VAT Rates'!B:C,2,FALSE),"")</f>
        <v>23</v>
      </c>
    </row>
    <row r="96" spans="1:9" x14ac:dyDescent="0.35">
      <c r="A96" s="7" t="s">
        <v>133</v>
      </c>
      <c r="B96" s="3" t="str">
        <f>VLOOKUP(A96,GDP_LCU!A:B,2,FALSE)</f>
        <v>PRT</v>
      </c>
      <c r="C96" s="3">
        <v>2019</v>
      </c>
      <c r="D96" s="4">
        <v>8.7630238702623903E-2</v>
      </c>
      <c r="E96" s="5">
        <f>VLOOKUP(A96,GDP_LCU!A:C,3,FALSE)</f>
        <v>214374620000</v>
      </c>
      <c r="F96" s="3">
        <f t="shared" si="1"/>
        <v>18785699122.384293</v>
      </c>
      <c r="G96" s="3">
        <f>IFERROR(VLOOKUP(B96,'C'!B:C,2,FALSE),"")</f>
        <v>137324165000</v>
      </c>
      <c r="H96" s="3">
        <f>IFERROR(VLOOKUP(B96,G!B:C,2,FALSE),"")</f>
        <v>36437852000</v>
      </c>
      <c r="I96" s="3">
        <f>IFERROR(VLOOKUP(B96,'VAT Rates'!B:C,2,FALSE),"")</f>
        <v>23</v>
      </c>
    </row>
    <row r="97" spans="1:9" x14ac:dyDescent="0.35">
      <c r="A97" s="7" t="s">
        <v>136</v>
      </c>
      <c r="B97" s="3" t="str">
        <f>VLOOKUP(A97,GDP_LCU!A:B,2,FALSE)</f>
        <v>ROU</v>
      </c>
      <c r="C97" s="3">
        <v>2019</v>
      </c>
      <c r="D97" s="4">
        <v>6.1535540212164945E-2</v>
      </c>
      <c r="E97" s="5">
        <f>VLOOKUP(A97,GDP_LCU!A:C,3,FALSE)</f>
        <v>1063794600000</v>
      </c>
      <c r="F97" s="3">
        <f t="shared" si="1"/>
        <v>65461175385.78392</v>
      </c>
      <c r="G97" s="3">
        <f>IFERROR(VLOOKUP(B97,'C'!B:C,2,FALSE),"")</f>
        <v>662460100000.00098</v>
      </c>
      <c r="H97" s="3">
        <f>IFERROR(VLOOKUP(B97,G!B:C,2,FALSE),"")</f>
        <v>186596100000</v>
      </c>
      <c r="I97" s="3">
        <f>IFERROR(VLOOKUP(B97,'VAT Rates'!B:C,2,FALSE),"")</f>
        <v>19</v>
      </c>
    </row>
    <row r="98" spans="1:9" x14ac:dyDescent="0.35">
      <c r="A98" s="7" t="s">
        <v>137</v>
      </c>
      <c r="B98" s="3" t="str">
        <f>VLOOKUP(A98,GDP_LCU!A:B,2,FALSE)</f>
        <v>RUS</v>
      </c>
      <c r="C98" s="3">
        <v>2019</v>
      </c>
      <c r="D98" s="4">
        <v>6.4758622262773721E-2</v>
      </c>
      <c r="E98" s="5">
        <f>VLOOKUP(A98,GDP_LCU!A:C,3,FALSE)</f>
        <v>109608300000000</v>
      </c>
      <c r="F98" s="3">
        <f t="shared" si="1"/>
        <v>7098082496564.7813</v>
      </c>
      <c r="G98" s="3">
        <f>IFERROR(VLOOKUP(B98,'C'!B:C,2,FALSE),"")</f>
        <v>56556800000000</v>
      </c>
      <c r="H98" s="3">
        <f>IFERROR(VLOOKUP(B98,G!B:C,2,FALSE),"")</f>
        <v>19840600000000</v>
      </c>
      <c r="I98" s="3">
        <f>IFERROR(VLOOKUP(B98,'VAT Rates'!B:C,2,FALSE),"")</f>
        <v>20</v>
      </c>
    </row>
    <row r="99" spans="1:9" x14ac:dyDescent="0.35">
      <c r="A99" s="7" t="s">
        <v>138</v>
      </c>
      <c r="B99" s="3" t="str">
        <f>VLOOKUP(A99,GDP_LCU!A:B,2,FALSE)</f>
        <v>RWA</v>
      </c>
      <c r="C99" s="3">
        <v>2019</v>
      </c>
      <c r="D99" s="4">
        <v>5.4511347165557222E-2</v>
      </c>
      <c r="E99" s="5">
        <f>VLOOKUP(A99,GDP_LCU!A:C,3,FALSE)</f>
        <v>9307647999999.9902</v>
      </c>
      <c r="F99" s="3">
        <f t="shared" si="1"/>
        <v>507372431422.80383</v>
      </c>
      <c r="G99" s="3">
        <f>IFERROR(VLOOKUP(B99,'C'!B:C,2,FALSE),"")</f>
        <v>6653061000000</v>
      </c>
      <c r="H99" s="3">
        <f>IFERROR(VLOOKUP(B99,G!B:C,2,FALSE),"")</f>
        <v>1472150000000</v>
      </c>
      <c r="I99" s="3" t="str">
        <f>IFERROR(VLOOKUP(B99,'VAT Rates'!B:C,2,FALSE),"")</f>
        <v/>
      </c>
    </row>
    <row r="100" spans="1:9" x14ac:dyDescent="0.35">
      <c r="A100" s="7" t="s">
        <v>266</v>
      </c>
      <c r="B100" s="3" t="str">
        <f>VLOOKUP(A100,GDP_LCU!A:B,2,FALSE)</f>
        <v>VCT</v>
      </c>
      <c r="C100" s="3">
        <v>2019</v>
      </c>
      <c r="D100" s="4">
        <v>7.7267181781211877E-2</v>
      </c>
      <c r="E100" s="5">
        <f>VLOOKUP(A100,GDP_LCU!A:C,3,FALSE)</f>
        <v>2459069999.99999</v>
      </c>
      <c r="F100" s="3">
        <f t="shared" si="1"/>
        <v>190005408.70272392</v>
      </c>
      <c r="G100" s="3" t="str">
        <f>IFERROR(VLOOKUP(B100,'C'!B:C,2,FALSE),"")</f>
        <v/>
      </c>
      <c r="H100" s="3" t="str">
        <f>IFERROR(VLOOKUP(B100,G!B:C,2,FALSE),"")</f>
        <v/>
      </c>
      <c r="I100" s="3" t="str">
        <f>IFERROR(VLOOKUP(B100,'VAT Rates'!B:C,2,FALSE),"")</f>
        <v/>
      </c>
    </row>
    <row r="101" spans="1:9" x14ac:dyDescent="0.35">
      <c r="A101" s="7" t="s">
        <v>177</v>
      </c>
      <c r="B101" s="3" t="str">
        <f>VLOOKUP(A101,GDP_LCU!A:B,2,FALSE)</f>
        <v>WSM</v>
      </c>
      <c r="C101" s="3">
        <v>2019</v>
      </c>
      <c r="D101" s="4">
        <v>9.5980702481171548E-2</v>
      </c>
      <c r="E101" s="5">
        <f>VLOOKUP(A101,GDP_LCU!A:C,3,FALSE)</f>
        <v>2390088800.00001</v>
      </c>
      <c r="F101" s="3">
        <f t="shared" si="1"/>
        <v>229402402.01638129</v>
      </c>
      <c r="G101" s="3">
        <f>IFERROR(VLOOKUP(B101,'C'!B:C,2,FALSE),"")</f>
        <v>1602414500.00001</v>
      </c>
      <c r="H101" s="3">
        <f>IFERROR(VLOOKUP(B101,G!B:C,2,FALSE),"")</f>
        <v>329163800</v>
      </c>
      <c r="I101" s="3">
        <f>IFERROR(VLOOKUP(B101,'VAT Rates'!B:C,2,FALSE),"")</f>
        <v>15</v>
      </c>
    </row>
    <row r="102" spans="1:9" x14ac:dyDescent="0.35">
      <c r="A102" s="7" t="s">
        <v>148</v>
      </c>
      <c r="B102" s="3" t="str">
        <f>VLOOKUP(A102,GDP_LCU!A:B,2,FALSE)</f>
        <v>SRB</v>
      </c>
      <c r="C102" s="3">
        <v>2019</v>
      </c>
      <c r="D102" s="4">
        <v>0.10087109119027432</v>
      </c>
      <c r="E102" s="5">
        <f>VLOOKUP(A102,GDP_LCU!A:C,3,FALSE)</f>
        <v>5421851300000.0098</v>
      </c>
      <c r="F102" s="3">
        <f t="shared" si="1"/>
        <v>546908056902.40833</v>
      </c>
      <c r="G102" s="3">
        <f>IFERROR(VLOOKUP(B102,'C'!B:C,2,FALSE),"")</f>
        <v>3699060900000.0098</v>
      </c>
      <c r="H102" s="3">
        <f>IFERROR(VLOOKUP(B102,G!B:C,2,FALSE),"")</f>
        <v>901124200000</v>
      </c>
      <c r="I102" s="3" t="str">
        <f>IFERROR(VLOOKUP(B102,'VAT Rates'!B:C,2,FALSE),"")</f>
        <v/>
      </c>
    </row>
    <row r="103" spans="1:9" x14ac:dyDescent="0.35">
      <c r="A103" s="7" t="s">
        <v>155</v>
      </c>
      <c r="B103" s="3" t="str">
        <f>VLOOKUP(A103,GDP_LCU!A:B,2,FALSE)</f>
        <v>SYC</v>
      </c>
      <c r="C103" s="3">
        <v>2019</v>
      </c>
      <c r="D103" s="4">
        <v>0.10975248572033001</v>
      </c>
      <c r="E103" s="5">
        <f>VLOOKUP(A103,GDP_LCU!A:C,3,FALSE)</f>
        <v>26223795300.000099</v>
      </c>
      <c r="F103" s="3">
        <f t="shared" si="1"/>
        <v>2878126719.1961184</v>
      </c>
      <c r="G103" s="3">
        <f>IFERROR(VLOOKUP(B103,'C'!B:C,2,FALSE),"")</f>
        <v>16894832400</v>
      </c>
      <c r="H103" s="3">
        <f>IFERROR(VLOOKUP(B103,G!B:C,2,FALSE),"")</f>
        <v>5817522000</v>
      </c>
      <c r="I103" s="3" t="str">
        <f>IFERROR(VLOOKUP(B103,'VAT Rates'!B:C,2,FALSE),"")</f>
        <v/>
      </c>
    </row>
    <row r="104" spans="1:9" x14ac:dyDescent="0.35">
      <c r="A104" s="7" t="s">
        <v>256</v>
      </c>
      <c r="B104" s="3" t="str">
        <f>VLOOKUP(A104,GDP_LCU!A:B,2,FALSE)</f>
        <v>SVK</v>
      </c>
      <c r="C104" s="3">
        <v>2019</v>
      </c>
      <c r="D104" s="4">
        <v>7.2324986871207794E-2</v>
      </c>
      <c r="E104" s="5">
        <f>VLOOKUP(A104,GDP_LCU!A:C,3,FALSE)</f>
        <v>94429734000</v>
      </c>
      <c r="F104" s="3">
        <f t="shared" si="1"/>
        <v>6829629271.8016443</v>
      </c>
      <c r="G104" s="3">
        <f>IFERROR(VLOOKUP(B104,'C'!B:C,2,FALSE),"")</f>
        <v>53225024000</v>
      </c>
      <c r="H104" s="3">
        <f>IFERROR(VLOOKUP(B104,G!B:C,2,FALSE),"")</f>
        <v>18492978000</v>
      </c>
      <c r="I104" s="3">
        <f>IFERROR(VLOOKUP(B104,'VAT Rates'!B:C,2,FALSE),"")</f>
        <v>20</v>
      </c>
    </row>
    <row r="105" spans="1:9" x14ac:dyDescent="0.35">
      <c r="A105" s="7" t="s">
        <v>152</v>
      </c>
      <c r="B105" s="3" t="str">
        <f>VLOOKUP(A105,GDP_LCU!A:B,2,FALSE)</f>
        <v>SVN</v>
      </c>
      <c r="C105" s="3">
        <v>2019</v>
      </c>
      <c r="D105" s="4">
        <v>8.0199966429092065E-2</v>
      </c>
      <c r="E105" s="5">
        <f>VLOOKUP(A105,GDP_LCU!A:C,3,FALSE)</f>
        <v>48582307000</v>
      </c>
      <c r="F105" s="3">
        <f t="shared" si="1"/>
        <v>3896299390.4478445</v>
      </c>
      <c r="G105" s="3">
        <f>IFERROR(VLOOKUP(B105,'C'!B:C,2,FALSE),"")</f>
        <v>25490670000</v>
      </c>
      <c r="H105" s="3">
        <f>IFERROR(VLOOKUP(B105,G!B:C,2,FALSE),"")</f>
        <v>8894305000</v>
      </c>
      <c r="I105" s="3">
        <f>IFERROR(VLOOKUP(B105,'VAT Rates'!B:C,2,FALSE),"")</f>
        <v>22</v>
      </c>
    </row>
    <row r="106" spans="1:9" x14ac:dyDescent="0.35">
      <c r="A106" s="7" t="s">
        <v>178</v>
      </c>
      <c r="B106" s="3" t="str">
        <f>VLOOKUP(A106,GDP_LCU!A:B,2,FALSE)</f>
        <v>ZAF</v>
      </c>
      <c r="C106" s="3">
        <v>2019</v>
      </c>
      <c r="D106" s="4">
        <v>6.1768504933600421E-2</v>
      </c>
      <c r="E106" s="5">
        <f>VLOOKUP(A106,GDP_LCU!A:C,3,FALSE)</f>
        <v>5625206549500</v>
      </c>
      <c r="F106" s="3">
        <f t="shared" si="1"/>
        <v>347460598505.31213</v>
      </c>
      <c r="G106" s="3">
        <f>IFERROR(VLOOKUP(B106,'C'!B:C,2,FALSE),"")</f>
        <v>3605355993600</v>
      </c>
      <c r="H106" s="3">
        <f>IFERROR(VLOOKUP(B106,G!B:C,2,FALSE),"")</f>
        <v>1101419944800</v>
      </c>
      <c r="I106" s="3">
        <f>IFERROR(VLOOKUP(B106,'VAT Rates'!B:C,2,FALSE),"")</f>
        <v>15</v>
      </c>
    </row>
    <row r="107" spans="1:9" x14ac:dyDescent="0.35">
      <c r="A107" s="7" t="s">
        <v>52</v>
      </c>
      <c r="B107" s="3" t="str">
        <f>VLOOKUP(A107,GDP_LCU!A:B,2,FALSE)</f>
        <v>ESP</v>
      </c>
      <c r="C107" s="3">
        <v>2019</v>
      </c>
      <c r="D107" s="4">
        <v>6.4944324145954316E-2</v>
      </c>
      <c r="E107" s="5">
        <f>VLOOKUP(A107,GDP_LCU!A:C,3,FALSE)</f>
        <v>1245513000000</v>
      </c>
      <c r="F107" s="3">
        <f t="shared" si="1"/>
        <v>80889000000</v>
      </c>
      <c r="G107" s="3">
        <f>IFERROR(VLOOKUP(B107,'C'!B:C,2,FALSE),"")</f>
        <v>714535000000.00195</v>
      </c>
      <c r="H107" s="3">
        <f>IFERROR(VLOOKUP(B107,G!B:C,2,FALSE),"")</f>
        <v>234928000000</v>
      </c>
      <c r="I107" s="3">
        <f>IFERROR(VLOOKUP(B107,'VAT Rates'!B:C,2,FALSE),"")</f>
        <v>21</v>
      </c>
    </row>
    <row r="108" spans="1:9" x14ac:dyDescent="0.35">
      <c r="A108" s="7" t="s">
        <v>95</v>
      </c>
      <c r="B108" s="3" t="str">
        <f>VLOOKUP(A108,GDP_LCU!A:B,2,FALSE)</f>
        <v>LKA</v>
      </c>
      <c r="C108" s="3">
        <v>2019</v>
      </c>
      <c r="D108" s="4">
        <v>2.7900475466813599E-2</v>
      </c>
      <c r="E108" s="5">
        <f>VLOOKUP(A108,GDP_LCU!A:C,3,FALSE)</f>
        <v>15910975628000</v>
      </c>
      <c r="F108" s="3">
        <f t="shared" si="1"/>
        <v>443923785162.08307</v>
      </c>
      <c r="G108" s="3">
        <f>IFERROR(VLOOKUP(B108,'C'!B:C,2,FALSE),"")</f>
        <v>9975735771800</v>
      </c>
      <c r="H108" s="3">
        <f>IFERROR(VLOOKUP(B108,G!B:C,2,FALSE),"")</f>
        <v>1427620015300</v>
      </c>
      <c r="I108" s="3">
        <f>IFERROR(VLOOKUP(B108,'VAT Rates'!B:C,2,FALSE),"")</f>
        <v>15</v>
      </c>
    </row>
    <row r="109" spans="1:9" x14ac:dyDescent="0.35">
      <c r="A109" s="7" t="s">
        <v>153</v>
      </c>
      <c r="B109" s="3" t="str">
        <f>VLOOKUP(A109,GDP_LCU!A:B,2,FALSE)</f>
        <v>SWE</v>
      </c>
      <c r="C109" s="3">
        <v>2019</v>
      </c>
      <c r="D109" s="4">
        <v>9.1036336107734067E-2</v>
      </c>
      <c r="E109" s="5">
        <f>VLOOKUP(A109,GDP_LCU!A:C,3,FALSE)</f>
        <v>5049618999999.9805</v>
      </c>
      <c r="F109" s="3">
        <f t="shared" si="1"/>
        <v>459698812499.99823</v>
      </c>
      <c r="G109" s="3">
        <f>IFERROR(VLOOKUP(B109,'C'!B:C,2,FALSE),"")</f>
        <v>2269216999999.9902</v>
      </c>
      <c r="H109" s="3">
        <f>IFERROR(VLOOKUP(B109,G!B:C,2,FALSE),"")</f>
        <v>1300440000000</v>
      </c>
      <c r="I109" s="3">
        <f>IFERROR(VLOOKUP(B109,'VAT Rates'!B:C,2,FALSE),"")</f>
        <v>25</v>
      </c>
    </row>
    <row r="110" spans="1:9" x14ac:dyDescent="0.35">
      <c r="A110" s="7" t="s">
        <v>32</v>
      </c>
      <c r="B110" s="3" t="str">
        <f>VLOOKUP(A110,GDP_LCU!A:B,2,FALSE)</f>
        <v>CHE</v>
      </c>
      <c r="C110" s="3">
        <v>2019</v>
      </c>
      <c r="D110" s="4">
        <v>3.1379144023349223E-2</v>
      </c>
      <c r="E110" s="5">
        <f>VLOOKUP(A110,GDP_LCU!A:C,3,FALSE)</f>
        <v>716878590000</v>
      </c>
      <c r="F110" s="3">
        <f t="shared" si="1"/>
        <v>22495036522.865517</v>
      </c>
      <c r="G110" s="3">
        <f>IFERROR(VLOOKUP(B110,'C'!B:C,2,FALSE),"")</f>
        <v>375673974000</v>
      </c>
      <c r="H110" s="3">
        <f>IFERROR(VLOOKUP(B110,G!B:C,2,FALSE),"")</f>
        <v>81400874000</v>
      </c>
      <c r="I110" s="3">
        <f>IFERROR(VLOOKUP(B110,'VAT Rates'!B:C,2,FALSE),"")</f>
        <v>7.7</v>
      </c>
    </row>
    <row r="111" spans="1:9" x14ac:dyDescent="0.35">
      <c r="A111" s="7" t="s">
        <v>168</v>
      </c>
      <c r="B111" s="3" t="str">
        <f>VLOOKUP(A111,GDP_LCU!A:B,2,FALSE)</f>
        <v>TZA</v>
      </c>
      <c r="C111" s="3">
        <v>2019</v>
      </c>
      <c r="D111" s="4">
        <v>3.36676217765043E-2</v>
      </c>
      <c r="E111" s="5">
        <f>VLOOKUP(A111,GDP_LCU!A:C,3,FALSE)</f>
        <v>139641854498000</v>
      </c>
      <c r="F111" s="3">
        <f t="shared" si="1"/>
        <v>4701409141408.3096</v>
      </c>
      <c r="G111" s="3">
        <f>IFERROR(VLOOKUP(B111,'C'!B:C,2,FALSE),"")</f>
        <v>81912768213599.906</v>
      </c>
      <c r="H111" s="3">
        <f>IFERROR(VLOOKUP(B111,G!B:C,2,FALSE),"")</f>
        <v>10867504831400</v>
      </c>
      <c r="I111" s="3" t="str">
        <f>IFERROR(VLOOKUP(B111,'VAT Rates'!B:C,2,FALSE),"")</f>
        <v/>
      </c>
    </row>
    <row r="112" spans="1:9" x14ac:dyDescent="0.35">
      <c r="A112" s="7" t="s">
        <v>159</v>
      </c>
      <c r="B112" s="3" t="str">
        <f>VLOOKUP(A112,GDP_LCU!A:B,2,FALSE)</f>
        <v>THA</v>
      </c>
      <c r="C112" s="3">
        <v>2019</v>
      </c>
      <c r="D112" s="4">
        <v>3.5328928385032508E-2</v>
      </c>
      <c r="E112" s="5">
        <f>VLOOKUP(A112,GDP_LCU!A:C,3,FALSE)</f>
        <v>16889174000000</v>
      </c>
      <c r="F112" s="3">
        <f t="shared" si="1"/>
        <v>596676418728.35303</v>
      </c>
      <c r="G112" s="3">
        <f>IFERROR(VLOOKUP(B112,'C'!B:C,2,FALSE),"")</f>
        <v>8406384999999.9805</v>
      </c>
      <c r="H112" s="3">
        <f>IFERROR(VLOOKUP(B112,G!B:C,2,FALSE),"")</f>
        <v>2730870000000</v>
      </c>
      <c r="I112" s="3">
        <f>IFERROR(VLOOKUP(B112,'VAT Rates'!B:C,2,FALSE),"")</f>
        <v>7.0000000000000009</v>
      </c>
    </row>
    <row r="113" spans="1:9" x14ac:dyDescent="0.35">
      <c r="A113" s="7" t="s">
        <v>158</v>
      </c>
      <c r="B113" s="3" t="str">
        <f>VLOOKUP(A113,GDP_LCU!A:B,2,FALSE)</f>
        <v>TGO</v>
      </c>
      <c r="C113" s="3">
        <v>2019</v>
      </c>
      <c r="D113" s="4">
        <v>5.5552833811723365E-2</v>
      </c>
      <c r="E113" s="5">
        <f>VLOOKUP(A113,GDP_LCU!A:C,3,FALSE)</f>
        <v>4097100000000</v>
      </c>
      <c r="F113" s="3">
        <f t="shared" si="1"/>
        <v>227605515410.01181</v>
      </c>
      <c r="G113" s="3">
        <f>IFERROR(VLOOKUP(B113,'C'!B:C,2,FALSE),"")</f>
        <v>3141240000000</v>
      </c>
      <c r="H113" s="3">
        <f>IFERROR(VLOOKUP(B113,G!B:C,2,FALSE),"")</f>
        <v>542680000000</v>
      </c>
      <c r="I113" s="3" t="str">
        <f>IFERROR(VLOOKUP(B113,'VAT Rates'!B:C,2,FALSE),"")</f>
        <v/>
      </c>
    </row>
    <row r="114" spans="1:9" x14ac:dyDescent="0.35">
      <c r="A114" s="7" t="s">
        <v>165</v>
      </c>
      <c r="B114" s="3" t="str">
        <f>VLOOKUP(A114,GDP_LCU!A:B,2,FALSE)</f>
        <v>TUN</v>
      </c>
      <c r="C114" s="3">
        <v>2019</v>
      </c>
      <c r="D114" s="4">
        <v>6.3409158729791651E-2</v>
      </c>
      <c r="E114" s="5">
        <f>VLOOKUP(A114,GDP_LCU!A:C,3,FALSE)</f>
        <v>122969000000</v>
      </c>
      <c r="F114" s="3">
        <f t="shared" si="1"/>
        <v>7797360839.843749</v>
      </c>
      <c r="G114" s="3">
        <f>IFERROR(VLOOKUP(B114,'C'!B:C,2,FALSE),"")</f>
        <v>88306699999.999695</v>
      </c>
      <c r="H114" s="3">
        <f>IFERROR(VLOOKUP(B114,G!B:C,2,FALSE),"")</f>
        <v>23138500000</v>
      </c>
      <c r="I114" s="3">
        <f>IFERROR(VLOOKUP(B114,'VAT Rates'!B:C,2,FALSE),"")</f>
        <v>19</v>
      </c>
    </row>
    <row r="115" spans="1:9" x14ac:dyDescent="0.35">
      <c r="A115" s="7" t="s">
        <v>166</v>
      </c>
      <c r="B115" s="3" t="str">
        <f>VLOOKUP(A115,GDP_LCU!A:B,2,FALSE)</f>
        <v>TUR</v>
      </c>
      <c r="C115" s="3">
        <v>2019</v>
      </c>
      <c r="D115" s="4">
        <v>4.1915603453414205E-2</v>
      </c>
      <c r="E115" s="5">
        <f>VLOOKUP(A115,GDP_LCU!A:C,3,FALSE)</f>
        <v>4317809999999.9902</v>
      </c>
      <c r="F115" s="3">
        <f t="shared" si="1"/>
        <v>180983611747.18597</v>
      </c>
      <c r="G115" s="3">
        <f>IFERROR(VLOOKUP(B115,'C'!B:C,2,FALSE),"")</f>
        <v>2456654103499.9902</v>
      </c>
      <c r="H115" s="3">
        <f>IFERROR(VLOOKUP(B115,G!B:C,2,FALSE),"")</f>
        <v>659370522500</v>
      </c>
      <c r="I115" s="3">
        <f>IFERROR(VLOOKUP(B115,'VAT Rates'!B:C,2,FALSE),"")</f>
        <v>18</v>
      </c>
    </row>
    <row r="116" spans="1:9" x14ac:dyDescent="0.35">
      <c r="A116" s="7" t="s">
        <v>169</v>
      </c>
      <c r="B116" s="3" t="str">
        <f>VLOOKUP(A116,GDP_LCU!A:B,2,FALSE)</f>
        <v>UGA</v>
      </c>
      <c r="C116" s="3">
        <v>2019</v>
      </c>
      <c r="D116" s="4">
        <v>3.5569035025017869E-2</v>
      </c>
      <c r="E116" s="5">
        <f>VLOOKUP(A116,GDP_LCU!A:C,3,FALSE)</f>
        <v>132089774790000</v>
      </c>
      <c r="F116" s="3">
        <f t="shared" si="1"/>
        <v>4698305825952.2324</v>
      </c>
      <c r="G116" s="3">
        <f>IFERROR(VLOOKUP(B116,'C'!B:C,2,FALSE),"")</f>
        <v>94014853268000.203</v>
      </c>
      <c r="H116" s="3">
        <f>IFERROR(VLOOKUP(B116,G!B:C,2,FALSE),"")</f>
        <v>11590298276000</v>
      </c>
      <c r="I116" s="3">
        <f>IFERROR(VLOOKUP(B116,'VAT Rates'!B:C,2,FALSE),"")</f>
        <v>18</v>
      </c>
    </row>
    <row r="117" spans="1:9" x14ac:dyDescent="0.35">
      <c r="A117" s="7" t="s">
        <v>170</v>
      </c>
      <c r="B117" s="3" t="str">
        <f>VLOOKUP(A117,GDP_LCU!A:B,2,FALSE)</f>
        <v>UKR</v>
      </c>
      <c r="C117" s="3">
        <v>2019</v>
      </c>
      <c r="D117" s="4">
        <v>9.5215324959934108E-2</v>
      </c>
      <c r="E117" s="5">
        <f>VLOOKUP(A117,GDP_LCU!A:C,3,FALSE)</f>
        <v>3977198000000.0098</v>
      </c>
      <c r="F117" s="3">
        <f t="shared" si="1"/>
        <v>378690200000.00092</v>
      </c>
      <c r="G117" s="3">
        <f>IFERROR(VLOOKUP(B117,'C'!B:C,2,FALSE),"")</f>
        <v>2958119000000.0098</v>
      </c>
      <c r="H117" s="3">
        <f>IFERROR(VLOOKUP(B117,G!B:C,2,FALSE),"")</f>
        <v>746939000000</v>
      </c>
      <c r="I117" s="3">
        <f>IFERROR(VLOOKUP(B117,'VAT Rates'!B:C,2,FALSE),"")</f>
        <v>20</v>
      </c>
    </row>
    <row r="118" spans="1:9" x14ac:dyDescent="0.35">
      <c r="A118" s="7" t="s">
        <v>59</v>
      </c>
      <c r="B118" s="3" t="str">
        <f>VLOOKUP(A118,GDP_LCU!A:B,2,FALSE)</f>
        <v>GBR</v>
      </c>
      <c r="C118" s="3">
        <v>2019</v>
      </c>
      <c r="D118" s="4">
        <v>6.9245711569425314E-2</v>
      </c>
      <c r="E118" s="5">
        <f>VLOOKUP(A118,GDP_LCU!A:C,3,FALSE)</f>
        <v>2233921000000.0098</v>
      </c>
      <c r="F118" s="3">
        <f t="shared" si="1"/>
        <v>154689449234.88284</v>
      </c>
      <c r="G118" s="3">
        <f>IFERROR(VLOOKUP(B118,'C'!B:C,2,FALSE),"")</f>
        <v>1427940000000</v>
      </c>
      <c r="H118" s="3">
        <f>IFERROR(VLOOKUP(B118,G!B:C,2,FALSE),"")</f>
        <v>426592000000</v>
      </c>
      <c r="I118" s="3">
        <f>IFERROR(VLOOKUP(B118,'VAT Rates'!B:C,2,FALSE),"")</f>
        <v>20</v>
      </c>
    </row>
    <row r="119" spans="1:9" x14ac:dyDescent="0.35">
      <c r="A119" s="7" t="s">
        <v>171</v>
      </c>
      <c r="B119" s="3" t="str">
        <f>VLOOKUP(A119,GDP_LCU!A:B,2,FALSE)</f>
        <v>URY</v>
      </c>
      <c r="C119" s="3">
        <v>2019</v>
      </c>
      <c r="D119" s="4">
        <v>6.8023214979890015E-2</v>
      </c>
      <c r="E119" s="5">
        <f>VLOOKUP(A119,GDP_LCU!A:C,3,FALSE)</f>
        <v>2193673619832.1299</v>
      </c>
      <c r="F119" s="3">
        <f t="shared" si="1"/>
        <v>149220732237.5545</v>
      </c>
      <c r="G119" s="3" t="str">
        <f>IFERROR(VLOOKUP(B119,'C'!B:C,2,FALSE),"")</f>
        <v/>
      </c>
      <c r="H119" s="3" t="str">
        <f>IFERROR(VLOOKUP(B119,G!B:C,2,FALSE),"")</f>
        <v/>
      </c>
      <c r="I119" s="3">
        <f>IFERROR(VLOOKUP(B119,'VAT Rates'!B:C,2,FALSE),"")</f>
        <v>22</v>
      </c>
    </row>
    <row r="120" spans="1:9" x14ac:dyDescent="0.35">
      <c r="A120" s="7" t="s">
        <v>173</v>
      </c>
      <c r="B120" s="3" t="str">
        <f>VLOOKUP(A120,GDP_LCU!A:B,2,FALSE)</f>
        <v>UZB</v>
      </c>
      <c r="C120" s="3">
        <v>2019</v>
      </c>
      <c r="D120" s="4">
        <v>6.346911957950066E-2</v>
      </c>
      <c r="E120" s="5">
        <f>VLOOKUP(A120,GDP_LCU!A:C,3,FALSE)</f>
        <v>532712511999999</v>
      </c>
      <c r="F120" s="3">
        <f t="shared" si="1"/>
        <v>33810794125624.117</v>
      </c>
      <c r="G120" s="3">
        <f>IFERROR(VLOOKUP(B120,'C'!B:C,2,FALSE),"")</f>
        <v>317186589300000</v>
      </c>
      <c r="H120" s="3">
        <f>IFERROR(VLOOKUP(B120,G!B:C,2,FALSE),"")</f>
        <v>86043600000000</v>
      </c>
      <c r="I120" s="3" t="str">
        <f>IFERROR(VLOOKUP(B120,'VAT Rates'!B:C,2,FALSE),"")</f>
        <v/>
      </c>
    </row>
    <row r="121" spans="1:9" x14ac:dyDescent="0.35">
      <c r="A121" s="7" t="s">
        <v>175</v>
      </c>
      <c r="B121" s="3" t="str">
        <f>VLOOKUP(A121,GDP_LCU!A:B,2,FALSE)</f>
        <v>VUT</v>
      </c>
      <c r="C121" s="3">
        <v>2019</v>
      </c>
      <c r="D121" s="4">
        <v>7.5696634760353654E-2</v>
      </c>
      <c r="E121" s="5">
        <f>VLOOKUP(A121,GDP_LCU!A:C,3,FALSE)</f>
        <v>107450000000</v>
      </c>
      <c r="F121" s="3">
        <f t="shared" si="1"/>
        <v>8133603405</v>
      </c>
      <c r="G121" s="3">
        <f>IFERROR(VLOOKUP(B121,'C'!B:C,2,FALSE),"")</f>
        <v>59658000000.000099</v>
      </c>
      <c r="H121" s="3">
        <f>IFERROR(VLOOKUP(B121,G!B:C,2,FALSE),"")</f>
        <v>22107000000</v>
      </c>
      <c r="I121" s="3">
        <f>IFERROR(VLOOKUP(B121,'VAT Rates'!B:C,2,FALSE),"")</f>
        <v>15</v>
      </c>
    </row>
    <row r="122" spans="1:9" x14ac:dyDescent="0.35">
      <c r="A122" s="7" t="s">
        <v>270</v>
      </c>
      <c r="B122" s="3" t="str">
        <f>VLOOKUP(A122,GDP_LCU!A:B,2,FALSE)</f>
        <v>VNM</v>
      </c>
      <c r="C122" s="3">
        <v>2019</v>
      </c>
      <c r="D122" s="4">
        <v>4.839756065914104E-2</v>
      </c>
      <c r="E122" s="5">
        <f>VLOOKUP(A122,GDP_LCU!A:C,3,FALSE)</f>
        <v>7707200290000000</v>
      </c>
      <c r="F122" s="3">
        <f t="shared" si="1"/>
        <v>373009693547424.44</v>
      </c>
      <c r="G122" s="3">
        <f>IFERROR(VLOOKUP(B122,'C'!B:C,2,FALSE),"")</f>
        <v>4379853180000000</v>
      </c>
      <c r="H122" s="3">
        <f>IFERROR(VLOOKUP(B122,G!B:C,2,FALSE),"")</f>
        <v>738260100000000</v>
      </c>
      <c r="I122" s="3">
        <f>IFERROR(VLOOKUP(B122,'VAT Rates'!B:C,2,FALSE),"")</f>
        <v>10</v>
      </c>
    </row>
    <row r="123" spans="1:9" x14ac:dyDescent="0.35">
      <c r="A123" s="7" t="s">
        <v>176</v>
      </c>
      <c r="B123" s="3" t="str">
        <f>VLOOKUP(A123,GDP_LCU!A:B,2,FALSE)</f>
        <v>PSE</v>
      </c>
      <c r="C123" s="3">
        <v>2019</v>
      </c>
      <c r="D123" s="4">
        <v>1.7329574136493702E-2</v>
      </c>
      <c r="E123" s="5">
        <f>VLOOKUP(A123,GDP_LCU!A:C,3,FALSE)</f>
        <v>17133499999.999901</v>
      </c>
      <c r="F123" s="3">
        <f t="shared" si="1"/>
        <v>296916258.4676131</v>
      </c>
      <c r="G123" s="3">
        <f>IFERROR(VLOOKUP(B123,'C'!B:C,2,FALSE),"")</f>
        <v>15427900000</v>
      </c>
      <c r="H123" s="3">
        <f>IFERROR(VLOOKUP(B123,G!B:C,2,FALSE),"")</f>
        <v>3539800000</v>
      </c>
      <c r="I123" s="3" t="str">
        <f>IFERROR(VLOOKUP(B123,'VAT Rates'!B:C,2,FALSE),"")</f>
        <v/>
      </c>
    </row>
    <row r="124" spans="1:9" x14ac:dyDescent="0.35">
      <c r="A124" s="7" t="s">
        <v>179</v>
      </c>
      <c r="B124" s="3" t="str">
        <f>VLOOKUP(A124,GDP_LCU!A:B,2,FALSE)</f>
        <v>ZMB</v>
      </c>
      <c r="C124" s="3">
        <v>2019</v>
      </c>
      <c r="D124" s="4">
        <v>5.6032804236326297E-2</v>
      </c>
      <c r="E124" s="5">
        <f>VLOOKUP(A124,GDP_LCU!A:C,3,FALSE)</f>
        <v>300448727700</v>
      </c>
      <c r="F124" s="3">
        <f t="shared" si="1"/>
        <v>16834984742.267406</v>
      </c>
      <c r="G124" s="3">
        <f>IFERROR(VLOOKUP(B124,'C'!B:C,2,FALSE),"")</f>
        <v>126936500000</v>
      </c>
      <c r="H124" s="3">
        <f>IFERROR(VLOOKUP(B124,G!B:C,2,FALSE),"")</f>
        <v>53132100000</v>
      </c>
      <c r="I124" s="3">
        <f>IFERROR(VLOOKUP(B124,'VAT Rates'!B:C,2,FALSE),"")</f>
        <v>16</v>
      </c>
    </row>
    <row r="125" spans="1:9" x14ac:dyDescent="0.35">
      <c r="A125" s="7" t="s">
        <v>180</v>
      </c>
      <c r="B125" s="3" t="str">
        <f>VLOOKUP(A125,GDP_LCU!A:B,2,FALSE)</f>
        <v>ZWE</v>
      </c>
      <c r="C125" s="3">
        <v>2019</v>
      </c>
      <c r="D125" s="4">
        <v>2.8038440329353875E-2</v>
      </c>
      <c r="E125" s="5">
        <f>VLOOKUP(A125,GDP_LCU!A:C,3,FALSE)</f>
        <v>212174391900</v>
      </c>
      <c r="F125" s="3">
        <f t="shared" si="1"/>
        <v>5949039026.7050943</v>
      </c>
      <c r="G125" s="3">
        <f>IFERROR(VLOOKUP(B125,'C'!B:C,2,FALSE),"")</f>
        <v>168782894500</v>
      </c>
      <c r="H125" s="3">
        <f>IFERROR(VLOOKUP(B125,G!B:C,2,FALSE),"")</f>
        <v>15571819900</v>
      </c>
      <c r="I125" s="3">
        <f>IFERROR(VLOOKUP(B125,'VAT Rates'!B:C,2,FALSE),"")</f>
        <v>15</v>
      </c>
    </row>
  </sheetData>
  <autoFilter ref="A1:I1" xr:uid="{2E81A993-4D94-41F0-9A5C-DEE9A46EF982}"/>
  <sortState xmlns:xlrd2="http://schemas.microsoft.com/office/spreadsheetml/2017/richdata2" ref="A2:D125">
    <sortCondition ref="D2:D1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2BED-9F6C-4E37-A8BE-B1C5F9671D01}">
  <dimension ref="A1:C267"/>
  <sheetViews>
    <sheetView topLeftCell="A124" workbookViewId="0">
      <selection activeCell="A139" sqref="A139"/>
    </sheetView>
  </sheetViews>
  <sheetFormatPr defaultRowHeight="14.5" x14ac:dyDescent="0.35"/>
  <cols>
    <col min="1" max="1" width="18.7265625" customWidth="1"/>
  </cols>
  <sheetData>
    <row r="1" spans="1:3" x14ac:dyDescent="0.35">
      <c r="A1" t="s">
        <v>182</v>
      </c>
      <c r="B1" t="s">
        <v>273</v>
      </c>
      <c r="C1" t="s">
        <v>540</v>
      </c>
    </row>
    <row r="2" spans="1:3" x14ac:dyDescent="0.35">
      <c r="A2" t="s">
        <v>1</v>
      </c>
      <c r="B2" t="s">
        <v>274</v>
      </c>
      <c r="C2">
        <v>6078480000</v>
      </c>
    </row>
    <row r="3" spans="1:3" x14ac:dyDescent="0.35">
      <c r="A3" t="s">
        <v>183</v>
      </c>
      <c r="B3" t="s">
        <v>275</v>
      </c>
    </row>
    <row r="4" spans="1:3" x14ac:dyDescent="0.35">
      <c r="A4" t="s">
        <v>2</v>
      </c>
      <c r="B4" t="s">
        <v>276</v>
      </c>
      <c r="C4">
        <v>1469596303299.99</v>
      </c>
    </row>
    <row r="5" spans="1:3" x14ac:dyDescent="0.35">
      <c r="A5" t="s">
        <v>184</v>
      </c>
      <c r="B5" t="s">
        <v>277</v>
      </c>
    </row>
    <row r="6" spans="1:3" x14ac:dyDescent="0.35">
      <c r="A6" t="s">
        <v>3</v>
      </c>
      <c r="B6" t="s">
        <v>278</v>
      </c>
      <c r="C6">
        <v>30330429000000</v>
      </c>
    </row>
    <row r="7" spans="1:3" x14ac:dyDescent="0.35">
      <c r="A7" t="s">
        <v>5</v>
      </c>
      <c r="B7" t="s">
        <v>279</v>
      </c>
      <c r="C7">
        <v>1691903429800</v>
      </c>
    </row>
    <row r="8" spans="1:3" x14ac:dyDescent="0.35">
      <c r="A8" t="s">
        <v>185</v>
      </c>
      <c r="B8" t="s">
        <v>280</v>
      </c>
      <c r="C8">
        <v>2818419999.99999</v>
      </c>
    </row>
    <row r="9" spans="1:3" x14ac:dyDescent="0.35">
      <c r="A9" t="s">
        <v>186</v>
      </c>
      <c r="B9" t="s">
        <v>281</v>
      </c>
    </row>
    <row r="10" spans="1:3" x14ac:dyDescent="0.35">
      <c r="A10" t="s">
        <v>6</v>
      </c>
      <c r="B10" t="s">
        <v>282</v>
      </c>
      <c r="C10">
        <v>1535067253099.99</v>
      </c>
    </row>
    <row r="11" spans="1:3" x14ac:dyDescent="0.35">
      <c r="A11" t="s">
        <v>7</v>
      </c>
      <c r="B11" t="s">
        <v>283</v>
      </c>
      <c r="C11">
        <v>21558444149200</v>
      </c>
    </row>
    <row r="12" spans="1:3" x14ac:dyDescent="0.35">
      <c r="A12" t="s">
        <v>8</v>
      </c>
      <c r="B12" t="s">
        <v>284</v>
      </c>
      <c r="C12">
        <v>6543321799999.9805</v>
      </c>
    </row>
    <row r="13" spans="1:3" x14ac:dyDescent="0.35">
      <c r="A13" t="s">
        <v>187</v>
      </c>
      <c r="B13" t="s">
        <v>285</v>
      </c>
      <c r="C13">
        <v>647000000</v>
      </c>
    </row>
    <row r="14" spans="1:3" x14ac:dyDescent="0.35">
      <c r="A14" t="s">
        <v>9</v>
      </c>
      <c r="B14" t="s">
        <v>286</v>
      </c>
      <c r="C14">
        <v>4658450000.00002</v>
      </c>
    </row>
    <row r="15" spans="1:3" x14ac:dyDescent="0.35">
      <c r="A15" t="s">
        <v>10</v>
      </c>
      <c r="B15" t="s">
        <v>287</v>
      </c>
      <c r="C15">
        <v>1950042000000</v>
      </c>
    </row>
    <row r="16" spans="1:3" x14ac:dyDescent="0.35">
      <c r="A16" t="s">
        <v>11</v>
      </c>
      <c r="B16" t="s">
        <v>288</v>
      </c>
      <c r="C16">
        <v>397147190000</v>
      </c>
    </row>
    <row r="17" spans="1:3" x14ac:dyDescent="0.35">
      <c r="A17" t="s">
        <v>12</v>
      </c>
      <c r="B17" t="s">
        <v>289</v>
      </c>
      <c r="C17">
        <v>81896199999.999893</v>
      </c>
    </row>
    <row r="18" spans="1:3" x14ac:dyDescent="0.35">
      <c r="A18" t="s">
        <v>13</v>
      </c>
      <c r="B18" t="s">
        <v>290</v>
      </c>
      <c r="C18">
        <v>5559586343900</v>
      </c>
    </row>
    <row r="19" spans="1:3" x14ac:dyDescent="0.35">
      <c r="A19" t="s">
        <v>14</v>
      </c>
      <c r="B19" t="s">
        <v>291</v>
      </c>
      <c r="C19">
        <v>478676200000.00098</v>
      </c>
    </row>
    <row r="20" spans="1:3" x14ac:dyDescent="0.35">
      <c r="A20" t="s">
        <v>15</v>
      </c>
      <c r="B20" t="s">
        <v>292</v>
      </c>
      <c r="C20">
        <v>8432247506700.0303</v>
      </c>
    </row>
    <row r="21" spans="1:3" x14ac:dyDescent="0.35">
      <c r="A21" t="s">
        <v>16</v>
      </c>
      <c r="B21" t="s">
        <v>293</v>
      </c>
      <c r="C21">
        <v>9393802000000.0098</v>
      </c>
    </row>
    <row r="22" spans="1:3" x14ac:dyDescent="0.35">
      <c r="A22" t="s">
        <v>17</v>
      </c>
      <c r="B22" t="s">
        <v>294</v>
      </c>
      <c r="C22">
        <v>29514285000000.102</v>
      </c>
    </row>
    <row r="23" spans="1:3" x14ac:dyDescent="0.35">
      <c r="A23" t="s">
        <v>18</v>
      </c>
      <c r="B23" t="s">
        <v>295</v>
      </c>
      <c r="C23">
        <v>120342013000</v>
      </c>
    </row>
    <row r="24" spans="1:3" x14ac:dyDescent="0.35">
      <c r="A24" t="s">
        <v>19</v>
      </c>
      <c r="B24" t="s">
        <v>296</v>
      </c>
      <c r="C24">
        <v>14533647600</v>
      </c>
    </row>
    <row r="25" spans="1:3" x14ac:dyDescent="0.35">
      <c r="A25" t="s">
        <v>20</v>
      </c>
      <c r="B25" t="s">
        <v>297</v>
      </c>
      <c r="C25">
        <v>13016200000</v>
      </c>
    </row>
    <row r="26" spans="1:3" x14ac:dyDescent="0.35">
      <c r="A26" t="s">
        <v>21</v>
      </c>
      <c r="B26" t="s">
        <v>298</v>
      </c>
      <c r="C26">
        <v>35784879000</v>
      </c>
    </row>
    <row r="27" spans="1:3" x14ac:dyDescent="0.35">
      <c r="A27" t="s">
        <v>22</v>
      </c>
      <c r="B27" t="s">
        <v>299</v>
      </c>
      <c r="C27">
        <v>134732000000</v>
      </c>
    </row>
    <row r="28" spans="1:3" x14ac:dyDescent="0.35">
      <c r="A28" t="s">
        <v>23</v>
      </c>
      <c r="B28" t="s">
        <v>300</v>
      </c>
      <c r="C28">
        <v>4773584952.2127304</v>
      </c>
    </row>
    <row r="29" spans="1:3" x14ac:dyDescent="0.35">
      <c r="A29" t="s">
        <v>188</v>
      </c>
      <c r="B29" t="s">
        <v>301</v>
      </c>
      <c r="C29">
        <v>7423465000.0000095</v>
      </c>
    </row>
    <row r="30" spans="1:3" x14ac:dyDescent="0.35">
      <c r="A30" t="s">
        <v>24</v>
      </c>
      <c r="B30" t="s">
        <v>302</v>
      </c>
      <c r="C30">
        <v>282586680900</v>
      </c>
    </row>
    <row r="31" spans="1:3" x14ac:dyDescent="0.35">
      <c r="A31" t="s">
        <v>25</v>
      </c>
      <c r="B31" t="s">
        <v>303</v>
      </c>
      <c r="C31">
        <v>7389131000000</v>
      </c>
    </row>
    <row r="32" spans="1:3" x14ac:dyDescent="0.35">
      <c r="A32" t="s">
        <v>26</v>
      </c>
      <c r="B32" t="s">
        <v>304</v>
      </c>
      <c r="C32">
        <v>10734278500</v>
      </c>
    </row>
    <row r="33" spans="1:3" x14ac:dyDescent="0.35">
      <c r="A33" t="s">
        <v>27</v>
      </c>
      <c r="B33" t="s">
        <v>305</v>
      </c>
      <c r="C33">
        <v>18374986800</v>
      </c>
    </row>
    <row r="34" spans="1:3" x14ac:dyDescent="0.35">
      <c r="A34" t="s">
        <v>28</v>
      </c>
      <c r="B34" t="s">
        <v>306</v>
      </c>
      <c r="C34">
        <v>192647758499.99899</v>
      </c>
    </row>
    <row r="35" spans="1:3" x14ac:dyDescent="0.35">
      <c r="A35" t="s">
        <v>29</v>
      </c>
      <c r="B35" t="s">
        <v>307</v>
      </c>
      <c r="C35">
        <v>179901643500</v>
      </c>
    </row>
    <row r="36" spans="1:3" x14ac:dyDescent="0.35">
      <c r="A36" t="s">
        <v>30</v>
      </c>
      <c r="B36" t="s">
        <v>308</v>
      </c>
      <c r="C36">
        <v>1301484925000</v>
      </c>
    </row>
    <row r="37" spans="1:3" x14ac:dyDescent="0.35">
      <c r="A37" t="s">
        <v>31</v>
      </c>
      <c r="B37" t="s">
        <v>309</v>
      </c>
      <c r="C37">
        <v>2313563000000</v>
      </c>
    </row>
    <row r="38" spans="1:3" x14ac:dyDescent="0.35">
      <c r="A38" t="s">
        <v>189</v>
      </c>
      <c r="B38" t="s">
        <v>310</v>
      </c>
    </row>
    <row r="39" spans="1:3" x14ac:dyDescent="0.35">
      <c r="A39" t="s">
        <v>32</v>
      </c>
      <c r="B39" t="s">
        <v>311</v>
      </c>
      <c r="C39">
        <v>716878590000</v>
      </c>
    </row>
    <row r="40" spans="1:3" x14ac:dyDescent="0.35">
      <c r="A40" t="s">
        <v>190</v>
      </c>
      <c r="B40" t="s">
        <v>312</v>
      </c>
      <c r="C40">
        <v>7772414223.2684698</v>
      </c>
    </row>
    <row r="41" spans="1:3" x14ac:dyDescent="0.35">
      <c r="A41" t="s">
        <v>33</v>
      </c>
      <c r="B41" t="s">
        <v>313</v>
      </c>
      <c r="C41">
        <v>195531722450800</v>
      </c>
    </row>
    <row r="42" spans="1:3" x14ac:dyDescent="0.35">
      <c r="A42" t="s">
        <v>34</v>
      </c>
      <c r="B42" t="s">
        <v>314</v>
      </c>
      <c r="C42">
        <v>98651520229200</v>
      </c>
    </row>
    <row r="43" spans="1:3" x14ac:dyDescent="0.35">
      <c r="A43" t="s">
        <v>35</v>
      </c>
      <c r="B43" t="s">
        <v>315</v>
      </c>
      <c r="C43">
        <v>35379003000000.102</v>
      </c>
    </row>
    <row r="44" spans="1:3" x14ac:dyDescent="0.35">
      <c r="A44" t="s">
        <v>36</v>
      </c>
      <c r="B44" t="s">
        <v>316</v>
      </c>
      <c r="C44">
        <v>23243662000000</v>
      </c>
    </row>
    <row r="45" spans="1:3" x14ac:dyDescent="0.35">
      <c r="A45" t="s">
        <v>192</v>
      </c>
      <c r="B45" t="s">
        <v>317</v>
      </c>
      <c r="C45">
        <v>85314148014000</v>
      </c>
    </row>
    <row r="46" spans="1:3" x14ac:dyDescent="0.35">
      <c r="A46" t="s">
        <v>193</v>
      </c>
      <c r="B46" t="s">
        <v>318</v>
      </c>
      <c r="C46">
        <v>8189065738199.9902</v>
      </c>
    </row>
    <row r="47" spans="1:3" x14ac:dyDescent="0.35">
      <c r="A47" t="s">
        <v>37</v>
      </c>
      <c r="B47" t="s">
        <v>319</v>
      </c>
      <c r="C47">
        <v>1060068000000000</v>
      </c>
    </row>
    <row r="48" spans="1:3" x14ac:dyDescent="0.35">
      <c r="A48" t="s">
        <v>38</v>
      </c>
      <c r="B48" t="s">
        <v>320</v>
      </c>
      <c r="C48">
        <v>525167000000</v>
      </c>
    </row>
    <row r="49" spans="1:3" x14ac:dyDescent="0.35">
      <c r="A49" t="s">
        <v>39</v>
      </c>
      <c r="B49" t="s">
        <v>321</v>
      </c>
      <c r="C49">
        <v>221828588999.99899</v>
      </c>
    </row>
    <row r="50" spans="1:3" x14ac:dyDescent="0.35">
      <c r="A50" t="s">
        <v>40</v>
      </c>
      <c r="B50" t="s">
        <v>322</v>
      </c>
      <c r="C50">
        <v>37832149784000</v>
      </c>
    </row>
    <row r="51" spans="1:3" x14ac:dyDescent="0.35">
      <c r="A51" t="s">
        <v>194</v>
      </c>
      <c r="B51" t="s">
        <v>323</v>
      </c>
    </row>
    <row r="52" spans="1:3" x14ac:dyDescent="0.35">
      <c r="A52" t="s">
        <v>41</v>
      </c>
      <c r="B52" t="s">
        <v>324</v>
      </c>
      <c r="C52">
        <v>103427600000</v>
      </c>
    </row>
    <row r="53" spans="1:3" x14ac:dyDescent="0.35">
      <c r="A53" t="s">
        <v>195</v>
      </c>
      <c r="B53" t="s">
        <v>325</v>
      </c>
      <c r="C53">
        <v>5416762200</v>
      </c>
    </row>
    <row r="54" spans="1:3" x14ac:dyDescent="0.35">
      <c r="A54" t="s">
        <v>196</v>
      </c>
      <c r="B54" t="s">
        <v>326</v>
      </c>
      <c r="C54">
        <v>4951560693.3224201</v>
      </c>
    </row>
    <row r="55" spans="1:3" x14ac:dyDescent="0.35">
      <c r="A55" t="s">
        <v>42</v>
      </c>
      <c r="B55" t="s">
        <v>327</v>
      </c>
      <c r="C55">
        <v>23177856999.999901</v>
      </c>
    </row>
    <row r="56" spans="1:3" x14ac:dyDescent="0.35">
      <c r="A56" t="s">
        <v>43</v>
      </c>
      <c r="B56" t="s">
        <v>328</v>
      </c>
      <c r="C56">
        <v>5791497999999.9902</v>
      </c>
    </row>
    <row r="57" spans="1:3" x14ac:dyDescent="0.35">
      <c r="A57" t="s">
        <v>44</v>
      </c>
      <c r="B57" t="s">
        <v>329</v>
      </c>
      <c r="C57">
        <v>3474110000000</v>
      </c>
    </row>
    <row r="58" spans="1:3" x14ac:dyDescent="0.35">
      <c r="A58" t="s">
        <v>45</v>
      </c>
      <c r="B58" t="s">
        <v>330</v>
      </c>
      <c r="C58">
        <v>548954157500</v>
      </c>
    </row>
    <row r="59" spans="1:3" x14ac:dyDescent="0.35">
      <c r="A59" t="s">
        <v>46</v>
      </c>
      <c r="B59" t="s">
        <v>331</v>
      </c>
      <c r="C59">
        <v>1651150000</v>
      </c>
    </row>
    <row r="60" spans="1:3" x14ac:dyDescent="0.35">
      <c r="A60" t="s">
        <v>47</v>
      </c>
      <c r="B60" t="s">
        <v>332</v>
      </c>
      <c r="C60">
        <v>2310954834999.9902</v>
      </c>
    </row>
    <row r="61" spans="1:3" x14ac:dyDescent="0.35">
      <c r="A61" t="s">
        <v>48</v>
      </c>
      <c r="B61" t="s">
        <v>333</v>
      </c>
      <c r="C61">
        <v>4562235075700</v>
      </c>
    </row>
    <row r="62" spans="1:3" x14ac:dyDescent="0.35">
      <c r="A62" t="s">
        <v>49</v>
      </c>
      <c r="B62" t="s">
        <v>334</v>
      </c>
      <c r="C62">
        <v>23090099000000</v>
      </c>
    </row>
    <row r="63" spans="1:3" x14ac:dyDescent="0.35">
      <c r="A63" t="s">
        <v>197</v>
      </c>
      <c r="B63" t="s">
        <v>335</v>
      </c>
    </row>
    <row r="64" spans="1:3" x14ac:dyDescent="0.35">
      <c r="A64" t="s">
        <v>198</v>
      </c>
      <c r="B64" t="s">
        <v>336</v>
      </c>
    </row>
    <row r="65" spans="1:3" x14ac:dyDescent="0.35">
      <c r="A65" t="s">
        <v>199</v>
      </c>
      <c r="B65" t="s">
        <v>337</v>
      </c>
    </row>
    <row r="66" spans="1:3" x14ac:dyDescent="0.35">
      <c r="A66" t="s">
        <v>200</v>
      </c>
      <c r="B66" t="s">
        <v>338</v>
      </c>
    </row>
    <row r="67" spans="1:3" x14ac:dyDescent="0.35">
      <c r="A67" t="s">
        <v>201</v>
      </c>
      <c r="B67" t="s">
        <v>339</v>
      </c>
    </row>
    <row r="68" spans="1:3" x14ac:dyDescent="0.35">
      <c r="A68" t="s">
        <v>50</v>
      </c>
      <c r="B68" t="s">
        <v>340</v>
      </c>
      <c r="C68">
        <v>107595829000</v>
      </c>
    </row>
    <row r="69" spans="1:3" x14ac:dyDescent="0.35">
      <c r="A69" t="s">
        <v>202</v>
      </c>
      <c r="B69" t="s">
        <v>341</v>
      </c>
      <c r="C69">
        <v>5596000000000</v>
      </c>
    </row>
    <row r="70" spans="1:3" x14ac:dyDescent="0.35">
      <c r="A70" t="s">
        <v>203</v>
      </c>
      <c r="B70" t="s">
        <v>342</v>
      </c>
    </row>
    <row r="71" spans="1:3" x14ac:dyDescent="0.35">
      <c r="A71" t="s">
        <v>51</v>
      </c>
      <c r="B71" t="s">
        <v>343</v>
      </c>
    </row>
    <row r="72" spans="1:3" x14ac:dyDescent="0.35">
      <c r="A72" t="s">
        <v>52</v>
      </c>
      <c r="B72" t="s">
        <v>344</v>
      </c>
      <c r="C72">
        <v>1245513000000</v>
      </c>
    </row>
    <row r="73" spans="1:3" x14ac:dyDescent="0.35">
      <c r="A73" t="s">
        <v>53</v>
      </c>
      <c r="B73" t="s">
        <v>345</v>
      </c>
      <c r="C73">
        <v>27951018999.999901</v>
      </c>
    </row>
    <row r="74" spans="1:3" x14ac:dyDescent="0.35">
      <c r="A74" t="s">
        <v>54</v>
      </c>
      <c r="B74" t="s">
        <v>346</v>
      </c>
      <c r="C74">
        <v>2690751000000</v>
      </c>
    </row>
    <row r="75" spans="1:3" x14ac:dyDescent="0.35">
      <c r="A75" t="s">
        <v>204</v>
      </c>
      <c r="B75" t="s">
        <v>347</v>
      </c>
    </row>
    <row r="76" spans="1:3" x14ac:dyDescent="0.35">
      <c r="A76" t="s">
        <v>205</v>
      </c>
      <c r="B76" t="s">
        <v>348</v>
      </c>
    </row>
    <row r="77" spans="1:3" x14ac:dyDescent="0.35">
      <c r="A77" t="s">
        <v>55</v>
      </c>
      <c r="B77" t="s">
        <v>349</v>
      </c>
      <c r="C77">
        <v>239858000000</v>
      </c>
    </row>
    <row r="78" spans="1:3" x14ac:dyDescent="0.35">
      <c r="A78" t="s">
        <v>56</v>
      </c>
      <c r="B78" t="s">
        <v>350</v>
      </c>
      <c r="C78">
        <v>11762059200</v>
      </c>
    </row>
    <row r="79" spans="1:3" x14ac:dyDescent="0.35">
      <c r="A79" t="s">
        <v>57</v>
      </c>
      <c r="B79" t="s">
        <v>351</v>
      </c>
      <c r="C79">
        <v>2437634999999.9902</v>
      </c>
    </row>
    <row r="80" spans="1:3" x14ac:dyDescent="0.35">
      <c r="A80" t="s">
        <v>206</v>
      </c>
      <c r="B80" t="s">
        <v>352</v>
      </c>
      <c r="C80">
        <v>21785299999.999901</v>
      </c>
    </row>
    <row r="81" spans="1:3" x14ac:dyDescent="0.35">
      <c r="A81" t="s">
        <v>207</v>
      </c>
      <c r="B81" t="s">
        <v>353</v>
      </c>
      <c r="C81">
        <v>394000000.00000101</v>
      </c>
    </row>
    <row r="82" spans="1:3" x14ac:dyDescent="0.35">
      <c r="A82" t="s">
        <v>58</v>
      </c>
      <c r="B82" t="s">
        <v>354</v>
      </c>
      <c r="C82">
        <v>9886899999999.9902</v>
      </c>
    </row>
    <row r="83" spans="1:3" x14ac:dyDescent="0.35">
      <c r="A83" t="s">
        <v>59</v>
      </c>
      <c r="B83" t="s">
        <v>355</v>
      </c>
      <c r="C83">
        <v>2233921000000.0098</v>
      </c>
    </row>
    <row r="84" spans="1:3" x14ac:dyDescent="0.35">
      <c r="A84" t="s">
        <v>60</v>
      </c>
      <c r="B84" t="s">
        <v>356</v>
      </c>
      <c r="C84">
        <v>49726000000</v>
      </c>
    </row>
    <row r="85" spans="1:3" x14ac:dyDescent="0.35">
      <c r="A85" t="s">
        <v>61</v>
      </c>
      <c r="B85" t="s">
        <v>357</v>
      </c>
      <c r="C85">
        <v>356544265600.00098</v>
      </c>
    </row>
    <row r="86" spans="1:3" x14ac:dyDescent="0.35">
      <c r="A86" t="s">
        <v>208</v>
      </c>
      <c r="B86" t="s">
        <v>358</v>
      </c>
    </row>
    <row r="87" spans="1:3" x14ac:dyDescent="0.35">
      <c r="A87" t="s">
        <v>62</v>
      </c>
      <c r="B87" t="s">
        <v>359</v>
      </c>
      <c r="C87">
        <v>123457571240000</v>
      </c>
    </row>
    <row r="88" spans="1:3" x14ac:dyDescent="0.35">
      <c r="A88" t="s">
        <v>63</v>
      </c>
      <c r="B88" t="s">
        <v>360</v>
      </c>
      <c r="C88">
        <v>90793764499.999802</v>
      </c>
    </row>
    <row r="89" spans="1:3" x14ac:dyDescent="0.35">
      <c r="A89" t="s">
        <v>64</v>
      </c>
      <c r="B89" t="s">
        <v>361</v>
      </c>
      <c r="C89">
        <v>870943000000</v>
      </c>
    </row>
    <row r="90" spans="1:3" x14ac:dyDescent="0.35">
      <c r="A90" t="s">
        <v>65</v>
      </c>
      <c r="B90" t="s">
        <v>362</v>
      </c>
      <c r="C90">
        <v>6658371000000.0098</v>
      </c>
    </row>
    <row r="91" spans="1:3" x14ac:dyDescent="0.35">
      <c r="A91" t="s">
        <v>66</v>
      </c>
      <c r="B91" t="s">
        <v>363</v>
      </c>
      <c r="C91">
        <v>183347418000</v>
      </c>
    </row>
    <row r="92" spans="1:3" x14ac:dyDescent="0.35">
      <c r="A92" t="s">
        <v>67</v>
      </c>
      <c r="B92" t="s">
        <v>364</v>
      </c>
      <c r="C92">
        <v>3276410000.00001</v>
      </c>
    </row>
    <row r="93" spans="1:3" x14ac:dyDescent="0.35">
      <c r="A93" t="s">
        <v>209</v>
      </c>
      <c r="B93" t="s">
        <v>365</v>
      </c>
      <c r="C93">
        <v>19990400000</v>
      </c>
    </row>
    <row r="94" spans="1:3" x14ac:dyDescent="0.35">
      <c r="A94" t="s">
        <v>68</v>
      </c>
      <c r="B94" t="s">
        <v>366</v>
      </c>
      <c r="C94">
        <v>593972019900</v>
      </c>
    </row>
    <row r="95" spans="1:3" x14ac:dyDescent="0.35">
      <c r="A95" t="s">
        <v>210</v>
      </c>
      <c r="B95" t="s">
        <v>367</v>
      </c>
      <c r="C95">
        <v>6355000000.0000095</v>
      </c>
    </row>
    <row r="96" spans="1:3" x14ac:dyDescent="0.35">
      <c r="A96" t="s">
        <v>69</v>
      </c>
      <c r="B96" t="s">
        <v>368</v>
      </c>
      <c r="C96">
        <v>1078729000000</v>
      </c>
    </row>
    <row r="97" spans="1:3" x14ac:dyDescent="0.35">
      <c r="A97" t="s">
        <v>211</v>
      </c>
      <c r="B97" t="s">
        <v>369</v>
      </c>
    </row>
    <row r="98" spans="1:3" x14ac:dyDescent="0.35">
      <c r="A98" t="s">
        <v>212</v>
      </c>
      <c r="B98" t="s">
        <v>370</v>
      </c>
      <c r="C98">
        <v>2845022000000</v>
      </c>
    </row>
    <row r="99" spans="1:3" x14ac:dyDescent="0.35">
      <c r="A99" t="s">
        <v>70</v>
      </c>
      <c r="B99" t="s">
        <v>371</v>
      </c>
      <c r="C99">
        <v>609827000000</v>
      </c>
    </row>
    <row r="100" spans="1:3" x14ac:dyDescent="0.35">
      <c r="A100" t="s">
        <v>213</v>
      </c>
      <c r="B100" t="s">
        <v>372</v>
      </c>
    </row>
    <row r="101" spans="1:3" x14ac:dyDescent="0.35">
      <c r="A101" t="s">
        <v>71</v>
      </c>
      <c r="B101" t="s">
        <v>373</v>
      </c>
      <c r="C101">
        <v>55263209800.000198</v>
      </c>
    </row>
    <row r="102" spans="1:3" x14ac:dyDescent="0.35">
      <c r="A102" t="s">
        <v>72</v>
      </c>
      <c r="B102" t="s">
        <v>374</v>
      </c>
      <c r="C102">
        <v>1263386318400</v>
      </c>
    </row>
    <row r="103" spans="1:3" x14ac:dyDescent="0.35">
      <c r="A103" t="s">
        <v>73</v>
      </c>
      <c r="B103" t="s">
        <v>375</v>
      </c>
      <c r="C103">
        <v>47674187000000</v>
      </c>
    </row>
    <row r="104" spans="1:3" x14ac:dyDescent="0.35">
      <c r="A104" t="s">
        <v>214</v>
      </c>
      <c r="B104" t="s">
        <v>376</v>
      </c>
    </row>
    <row r="105" spans="1:3" x14ac:dyDescent="0.35">
      <c r="A105" t="s">
        <v>215</v>
      </c>
      <c r="B105" t="s">
        <v>377</v>
      </c>
    </row>
    <row r="106" spans="1:3" x14ac:dyDescent="0.35">
      <c r="A106" t="s">
        <v>216</v>
      </c>
      <c r="B106" t="s">
        <v>378</v>
      </c>
    </row>
    <row r="107" spans="1:3" x14ac:dyDescent="0.35">
      <c r="A107" t="s">
        <v>217</v>
      </c>
      <c r="B107" t="s">
        <v>379</v>
      </c>
    </row>
    <row r="108" spans="1:3" x14ac:dyDescent="0.35">
      <c r="A108" t="s">
        <v>74</v>
      </c>
      <c r="B108" t="s">
        <v>380</v>
      </c>
      <c r="C108">
        <v>1.58326572E+16</v>
      </c>
    </row>
    <row r="109" spans="1:3" x14ac:dyDescent="0.35">
      <c r="A109" t="s">
        <v>218</v>
      </c>
      <c r="B109" t="s">
        <v>381</v>
      </c>
    </row>
    <row r="110" spans="1:3" x14ac:dyDescent="0.35">
      <c r="A110" t="s">
        <v>219</v>
      </c>
      <c r="B110" t="s">
        <v>382</v>
      </c>
      <c r="C110">
        <v>5730875000.0000095</v>
      </c>
    </row>
    <row r="111" spans="1:3" x14ac:dyDescent="0.35">
      <c r="A111" t="s">
        <v>75</v>
      </c>
      <c r="B111" t="s">
        <v>383</v>
      </c>
      <c r="C111">
        <v>201035928565946</v>
      </c>
    </row>
    <row r="112" spans="1:3" x14ac:dyDescent="0.35">
      <c r="A112" t="s">
        <v>220</v>
      </c>
      <c r="B112" t="s">
        <v>384</v>
      </c>
    </row>
    <row r="113" spans="1:3" x14ac:dyDescent="0.35">
      <c r="A113" t="s">
        <v>76</v>
      </c>
      <c r="B113" t="s">
        <v>385</v>
      </c>
      <c r="C113">
        <v>356357386000.00098</v>
      </c>
    </row>
    <row r="114" spans="1:3" x14ac:dyDescent="0.35">
      <c r="A114" t="s">
        <v>221</v>
      </c>
      <c r="B114" t="s">
        <v>386</v>
      </c>
      <c r="C114">
        <v>2.73640132470194E+16</v>
      </c>
    </row>
    <row r="115" spans="1:3" x14ac:dyDescent="0.35">
      <c r="A115" t="s">
        <v>77</v>
      </c>
      <c r="B115" t="s">
        <v>387</v>
      </c>
      <c r="C115">
        <v>276157867600001</v>
      </c>
    </row>
    <row r="116" spans="1:3" x14ac:dyDescent="0.35">
      <c r="A116" t="s">
        <v>78</v>
      </c>
      <c r="B116" t="s">
        <v>388</v>
      </c>
      <c r="C116">
        <v>3026099913000.0098</v>
      </c>
    </row>
    <row r="117" spans="1:3" x14ac:dyDescent="0.35">
      <c r="A117" t="s">
        <v>79</v>
      </c>
      <c r="B117" t="s">
        <v>389</v>
      </c>
      <c r="C117">
        <v>1434617152000</v>
      </c>
    </row>
    <row r="118" spans="1:3" x14ac:dyDescent="0.35">
      <c r="A118" t="s">
        <v>80</v>
      </c>
      <c r="B118" t="s">
        <v>390</v>
      </c>
      <c r="C118">
        <v>1796648499999.99</v>
      </c>
    </row>
    <row r="119" spans="1:3" x14ac:dyDescent="0.35">
      <c r="A119" t="s">
        <v>81</v>
      </c>
      <c r="B119" t="s">
        <v>391</v>
      </c>
      <c r="C119">
        <v>2110433000000</v>
      </c>
    </row>
    <row r="120" spans="1:3" x14ac:dyDescent="0.35">
      <c r="A120" t="s">
        <v>82</v>
      </c>
      <c r="B120" t="s">
        <v>392</v>
      </c>
      <c r="C120">
        <v>31597000000.000198</v>
      </c>
    </row>
    <row r="121" spans="1:3" x14ac:dyDescent="0.35">
      <c r="A121" t="s">
        <v>83</v>
      </c>
      <c r="B121" t="s">
        <v>393</v>
      </c>
      <c r="C121">
        <v>557910800000001</v>
      </c>
    </row>
    <row r="122" spans="1:3" x14ac:dyDescent="0.35">
      <c r="A122" t="s">
        <v>84</v>
      </c>
      <c r="B122" t="s">
        <v>394</v>
      </c>
      <c r="C122">
        <v>69532626500000</v>
      </c>
    </row>
    <row r="123" spans="1:3" x14ac:dyDescent="0.35">
      <c r="A123" t="s">
        <v>85</v>
      </c>
      <c r="B123" t="s">
        <v>395</v>
      </c>
      <c r="C123">
        <v>10237727000000</v>
      </c>
    </row>
    <row r="124" spans="1:3" x14ac:dyDescent="0.35">
      <c r="A124" t="s">
        <v>222</v>
      </c>
      <c r="B124" t="s">
        <v>396</v>
      </c>
      <c r="C124">
        <v>654015200000</v>
      </c>
    </row>
    <row r="125" spans="1:3" x14ac:dyDescent="0.35">
      <c r="A125" t="s">
        <v>86</v>
      </c>
      <c r="B125" t="s">
        <v>397</v>
      </c>
      <c r="C125">
        <v>110014048240000</v>
      </c>
    </row>
    <row r="126" spans="1:3" x14ac:dyDescent="0.35">
      <c r="A126" t="s">
        <v>87</v>
      </c>
      <c r="B126" t="s">
        <v>398</v>
      </c>
      <c r="C126">
        <v>312000000</v>
      </c>
    </row>
    <row r="127" spans="1:3" x14ac:dyDescent="0.35">
      <c r="A127" t="s">
        <v>223</v>
      </c>
      <c r="B127" t="s">
        <v>399</v>
      </c>
      <c r="C127">
        <v>2991209999.99999</v>
      </c>
    </row>
    <row r="128" spans="1:3" x14ac:dyDescent="0.35">
      <c r="A128" t="s">
        <v>88</v>
      </c>
      <c r="B128" t="s">
        <v>400</v>
      </c>
      <c r="C128">
        <v>1924498100000000</v>
      </c>
    </row>
    <row r="129" spans="1:3" x14ac:dyDescent="0.35">
      <c r="A129" t="s">
        <v>90</v>
      </c>
      <c r="B129" t="s">
        <v>401</v>
      </c>
      <c r="C129">
        <v>42109728741.807404</v>
      </c>
    </row>
    <row r="130" spans="1:3" x14ac:dyDescent="0.35">
      <c r="A130" t="s">
        <v>225</v>
      </c>
      <c r="B130" t="s">
        <v>402</v>
      </c>
    </row>
    <row r="131" spans="1:3" x14ac:dyDescent="0.35">
      <c r="A131" t="s">
        <v>226</v>
      </c>
      <c r="B131" t="s">
        <v>403</v>
      </c>
      <c r="C131">
        <v>162657000000001</v>
      </c>
    </row>
    <row r="132" spans="1:3" x14ac:dyDescent="0.35">
      <c r="A132" t="s">
        <v>91</v>
      </c>
      <c r="B132" t="s">
        <v>404</v>
      </c>
      <c r="C132">
        <v>80195660489999.906</v>
      </c>
    </row>
    <row r="133" spans="1:3" x14ac:dyDescent="0.35">
      <c r="A133" t="s">
        <v>92</v>
      </c>
      <c r="B133" t="s">
        <v>405</v>
      </c>
      <c r="C133">
        <v>3319596500</v>
      </c>
    </row>
    <row r="134" spans="1:3" x14ac:dyDescent="0.35">
      <c r="A134" t="s">
        <v>93</v>
      </c>
      <c r="B134" t="s">
        <v>406</v>
      </c>
      <c r="C134">
        <v>100789540800</v>
      </c>
    </row>
    <row r="135" spans="1:3" x14ac:dyDescent="0.35">
      <c r="A135" t="s">
        <v>227</v>
      </c>
      <c r="B135" t="s">
        <v>407</v>
      </c>
      <c r="C135">
        <v>5648620182.3659897</v>
      </c>
    </row>
    <row r="136" spans="1:3" x14ac:dyDescent="0.35">
      <c r="A136" t="s">
        <v>228</v>
      </c>
      <c r="B136" t="s">
        <v>408</v>
      </c>
    </row>
    <row r="137" spans="1:3" x14ac:dyDescent="0.35">
      <c r="A137" t="s">
        <v>229</v>
      </c>
      <c r="B137" t="s">
        <v>409</v>
      </c>
    </row>
    <row r="138" spans="1:3" x14ac:dyDescent="0.35">
      <c r="A138" t="s">
        <v>230</v>
      </c>
      <c r="B138" t="s">
        <v>410</v>
      </c>
    </row>
    <row r="139" spans="1:3" x14ac:dyDescent="0.35">
      <c r="A139" t="s">
        <v>94</v>
      </c>
      <c r="B139" t="s">
        <v>411</v>
      </c>
    </row>
    <row r="140" spans="1:3" x14ac:dyDescent="0.35">
      <c r="A140" t="s">
        <v>95</v>
      </c>
      <c r="B140" t="s">
        <v>412</v>
      </c>
      <c r="C140">
        <v>15910975628000</v>
      </c>
    </row>
    <row r="141" spans="1:3" x14ac:dyDescent="0.35">
      <c r="A141" t="s">
        <v>231</v>
      </c>
      <c r="B141" t="s">
        <v>413</v>
      </c>
    </row>
    <row r="142" spans="1:3" x14ac:dyDescent="0.35">
      <c r="A142" t="s">
        <v>232</v>
      </c>
      <c r="B142" t="s">
        <v>414</v>
      </c>
    </row>
    <row r="143" spans="1:3" x14ac:dyDescent="0.35">
      <c r="A143" t="s">
        <v>96</v>
      </c>
      <c r="B143" t="s">
        <v>415</v>
      </c>
      <c r="C143">
        <v>34541887600</v>
      </c>
    </row>
    <row r="144" spans="1:3" x14ac:dyDescent="0.35">
      <c r="A144" t="s">
        <v>233</v>
      </c>
      <c r="B144" t="s">
        <v>416</v>
      </c>
    </row>
    <row r="145" spans="1:3" x14ac:dyDescent="0.35">
      <c r="A145" t="s">
        <v>97</v>
      </c>
      <c r="B145" t="s">
        <v>417</v>
      </c>
      <c r="C145">
        <v>48959160000.000099</v>
      </c>
    </row>
    <row r="146" spans="1:3" x14ac:dyDescent="0.35">
      <c r="A146" t="s">
        <v>98</v>
      </c>
      <c r="B146" t="s">
        <v>418</v>
      </c>
      <c r="C146">
        <v>62431529000</v>
      </c>
    </row>
    <row r="147" spans="1:3" x14ac:dyDescent="0.35">
      <c r="A147" t="s">
        <v>99</v>
      </c>
      <c r="B147" t="s">
        <v>419</v>
      </c>
      <c r="C147">
        <v>30572869000.000099</v>
      </c>
    </row>
    <row r="148" spans="1:3" x14ac:dyDescent="0.35">
      <c r="A148" t="s">
        <v>234</v>
      </c>
      <c r="B148" t="s">
        <v>420</v>
      </c>
      <c r="C148">
        <v>444540000000.00201</v>
      </c>
    </row>
    <row r="149" spans="1:3" x14ac:dyDescent="0.35">
      <c r="A149" t="s">
        <v>235</v>
      </c>
      <c r="B149" t="s">
        <v>421</v>
      </c>
    </row>
    <row r="150" spans="1:3" x14ac:dyDescent="0.35">
      <c r="A150" t="s">
        <v>100</v>
      </c>
      <c r="B150" t="s">
        <v>422</v>
      </c>
      <c r="C150">
        <v>1239835999999.99</v>
      </c>
    </row>
    <row r="151" spans="1:3" x14ac:dyDescent="0.35">
      <c r="A151" t="s">
        <v>236</v>
      </c>
      <c r="B151" t="s">
        <v>423</v>
      </c>
      <c r="C151">
        <v>6595900000.00002</v>
      </c>
    </row>
    <row r="152" spans="1:3" x14ac:dyDescent="0.35">
      <c r="A152" t="s">
        <v>237</v>
      </c>
      <c r="B152" t="s">
        <v>424</v>
      </c>
      <c r="C152">
        <v>206256239199.99899</v>
      </c>
    </row>
    <row r="153" spans="1:3" x14ac:dyDescent="0.35">
      <c r="A153" t="s">
        <v>101</v>
      </c>
      <c r="B153" t="s">
        <v>425</v>
      </c>
      <c r="C153">
        <v>51035216506000</v>
      </c>
    </row>
    <row r="154" spans="1:3" x14ac:dyDescent="0.35">
      <c r="A154" t="s">
        <v>102</v>
      </c>
      <c r="B154" t="s">
        <v>426</v>
      </c>
      <c r="C154">
        <v>88079030700</v>
      </c>
    </row>
    <row r="155" spans="1:3" x14ac:dyDescent="0.35">
      <c r="A155" t="s">
        <v>238</v>
      </c>
      <c r="B155" t="s">
        <v>427</v>
      </c>
    </row>
    <row r="156" spans="1:3" x14ac:dyDescent="0.35">
      <c r="A156" t="s">
        <v>103</v>
      </c>
      <c r="B156" t="s">
        <v>428</v>
      </c>
      <c r="C156">
        <v>25143108308000</v>
      </c>
    </row>
    <row r="157" spans="1:3" x14ac:dyDescent="0.35">
      <c r="A157" t="s">
        <v>104</v>
      </c>
      <c r="B157" t="s">
        <v>429</v>
      </c>
      <c r="C157">
        <v>231996704.10156399</v>
      </c>
    </row>
    <row r="158" spans="1:3" x14ac:dyDescent="0.35">
      <c r="A158" t="s">
        <v>239</v>
      </c>
      <c r="B158" t="s">
        <v>430</v>
      </c>
    </row>
    <row r="159" spans="1:3" x14ac:dyDescent="0.35">
      <c r="A159" t="s">
        <v>105</v>
      </c>
      <c r="B159" t="s">
        <v>431</v>
      </c>
      <c r="C159">
        <v>692683000000.00098</v>
      </c>
    </row>
    <row r="160" spans="1:3" x14ac:dyDescent="0.35">
      <c r="A160" t="s">
        <v>106</v>
      </c>
      <c r="B160" t="s">
        <v>432</v>
      </c>
      <c r="C160">
        <v>10124689257000</v>
      </c>
    </row>
    <row r="161" spans="1:3" x14ac:dyDescent="0.35">
      <c r="A161" t="s">
        <v>107</v>
      </c>
      <c r="B161" t="s">
        <v>433</v>
      </c>
      <c r="C161">
        <v>14296492809.6106</v>
      </c>
    </row>
    <row r="162" spans="1:3" x14ac:dyDescent="0.35">
      <c r="A162" t="s">
        <v>108</v>
      </c>
      <c r="B162" t="s">
        <v>434</v>
      </c>
      <c r="C162">
        <v>112633324500000</v>
      </c>
    </row>
    <row r="163" spans="1:3" x14ac:dyDescent="0.35">
      <c r="A163" t="s">
        <v>240</v>
      </c>
      <c r="B163" t="s">
        <v>435</v>
      </c>
    </row>
    <row r="164" spans="1:3" x14ac:dyDescent="0.35">
      <c r="A164" t="s">
        <v>109</v>
      </c>
      <c r="B164" t="s">
        <v>436</v>
      </c>
      <c r="C164">
        <v>4950716999.99998</v>
      </c>
    </row>
    <row r="165" spans="1:3" x14ac:dyDescent="0.35">
      <c r="A165" t="s">
        <v>110</v>
      </c>
      <c r="B165" t="s">
        <v>437</v>
      </c>
      <c r="C165">
        <v>37839225358000.102</v>
      </c>
    </row>
    <row r="166" spans="1:3" x14ac:dyDescent="0.35">
      <c r="A166" t="s">
        <v>241</v>
      </c>
      <c r="B166" t="s">
        <v>438</v>
      </c>
      <c r="C166">
        <v>1181000000</v>
      </c>
    </row>
    <row r="167" spans="1:3" x14ac:dyDescent="0.35">
      <c r="A167" t="s">
        <v>111</v>
      </c>
      <c r="B167" t="s">
        <v>439</v>
      </c>
      <c r="C167">
        <v>970297218635.56299</v>
      </c>
    </row>
    <row r="168" spans="1:3" x14ac:dyDescent="0.35">
      <c r="A168" t="s">
        <v>112</v>
      </c>
      <c r="B168" t="s">
        <v>440</v>
      </c>
      <c r="C168">
        <v>289665500000</v>
      </c>
    </row>
    <row r="169" spans="1:3" x14ac:dyDescent="0.35">
      <c r="A169" t="s">
        <v>113</v>
      </c>
      <c r="B169" t="s">
        <v>441</v>
      </c>
      <c r="C169">
        <v>512108000000</v>
      </c>
    </row>
    <row r="170" spans="1:3" x14ac:dyDescent="0.35">
      <c r="A170" t="s">
        <v>114</v>
      </c>
      <c r="B170" t="s">
        <v>442</v>
      </c>
      <c r="C170">
        <v>8258572000000.0098</v>
      </c>
    </row>
    <row r="171" spans="1:3" x14ac:dyDescent="0.35">
      <c r="A171" t="s">
        <v>115</v>
      </c>
      <c r="B171" t="s">
        <v>443</v>
      </c>
      <c r="C171">
        <v>1512737754000</v>
      </c>
    </row>
    <row r="172" spans="1:3" x14ac:dyDescent="0.35">
      <c r="A172" t="s">
        <v>242</v>
      </c>
      <c r="B172" t="s">
        <v>444</v>
      </c>
    </row>
    <row r="173" spans="1:3" x14ac:dyDescent="0.35">
      <c r="A173" t="s">
        <v>116</v>
      </c>
      <c r="B173" t="s">
        <v>445</v>
      </c>
      <c r="C173">
        <v>181210794000</v>
      </c>
    </row>
    <row r="174" spans="1:3" x14ac:dyDescent="0.35">
      <c r="A174" t="s">
        <v>243</v>
      </c>
      <c r="B174" t="s">
        <v>446</v>
      </c>
      <c r="C174">
        <v>1010000000000</v>
      </c>
    </row>
    <row r="175" spans="1:3" x14ac:dyDescent="0.35">
      <c r="A175" t="s">
        <v>117</v>
      </c>
      <c r="B175" t="s">
        <v>447</v>
      </c>
      <c r="C175">
        <v>7552132556000.0303</v>
      </c>
    </row>
    <row r="176" spans="1:3" x14ac:dyDescent="0.35">
      <c r="A176" t="s">
        <v>118</v>
      </c>
      <c r="B176" t="s">
        <v>448</v>
      </c>
      <c r="C176">
        <v>145639139380000</v>
      </c>
    </row>
    <row r="177" spans="1:3" x14ac:dyDescent="0.35">
      <c r="A177" t="s">
        <v>119</v>
      </c>
      <c r="B177" t="s">
        <v>449</v>
      </c>
      <c r="C177">
        <v>420614000000</v>
      </c>
    </row>
    <row r="178" spans="1:3" x14ac:dyDescent="0.35">
      <c r="A178" t="s">
        <v>120</v>
      </c>
      <c r="B178" t="s">
        <v>450</v>
      </c>
      <c r="C178">
        <v>813055000000.00098</v>
      </c>
    </row>
    <row r="179" spans="1:3" x14ac:dyDescent="0.35">
      <c r="A179" t="s">
        <v>121</v>
      </c>
      <c r="B179" t="s">
        <v>451</v>
      </c>
      <c r="C179">
        <v>3596937000000.0098</v>
      </c>
    </row>
    <row r="180" spans="1:3" x14ac:dyDescent="0.35">
      <c r="A180" t="s">
        <v>122</v>
      </c>
      <c r="B180" t="s">
        <v>452</v>
      </c>
      <c r="C180">
        <v>3858930402400</v>
      </c>
    </row>
    <row r="181" spans="1:3" x14ac:dyDescent="0.35">
      <c r="A181" t="s">
        <v>123</v>
      </c>
      <c r="B181" t="s">
        <v>453</v>
      </c>
      <c r="C181">
        <v>175000000</v>
      </c>
    </row>
    <row r="182" spans="1:3" x14ac:dyDescent="0.35">
      <c r="A182" t="s">
        <v>124</v>
      </c>
      <c r="B182" t="s">
        <v>454</v>
      </c>
      <c r="C182">
        <v>323075000000</v>
      </c>
    </row>
    <row r="183" spans="1:3" x14ac:dyDescent="0.35">
      <c r="A183" t="s">
        <v>244</v>
      </c>
      <c r="B183" t="s">
        <v>455</v>
      </c>
    </row>
    <row r="184" spans="1:3" x14ac:dyDescent="0.35">
      <c r="A184" t="s">
        <v>125</v>
      </c>
      <c r="B184" t="s">
        <v>456</v>
      </c>
      <c r="C184">
        <v>33859400000</v>
      </c>
    </row>
    <row r="185" spans="1:3" x14ac:dyDescent="0.35">
      <c r="A185" t="s">
        <v>245</v>
      </c>
      <c r="B185" t="s">
        <v>457</v>
      </c>
    </row>
    <row r="186" spans="1:3" x14ac:dyDescent="0.35">
      <c r="A186" t="s">
        <v>126</v>
      </c>
      <c r="B186" t="s">
        <v>458</v>
      </c>
      <c r="C186">
        <v>43798401000000.203</v>
      </c>
    </row>
    <row r="187" spans="1:3" x14ac:dyDescent="0.35">
      <c r="A187" t="s">
        <v>127</v>
      </c>
      <c r="B187" t="s">
        <v>459</v>
      </c>
      <c r="C187">
        <v>69721787499.999802</v>
      </c>
    </row>
    <row r="188" spans="1:3" x14ac:dyDescent="0.35">
      <c r="A188" t="s">
        <v>128</v>
      </c>
      <c r="B188" t="s">
        <v>460</v>
      </c>
      <c r="C188">
        <v>761983999999.99902</v>
      </c>
    </row>
    <row r="189" spans="1:3" x14ac:dyDescent="0.35">
      <c r="A189" t="s">
        <v>129</v>
      </c>
      <c r="B189" t="s">
        <v>461</v>
      </c>
      <c r="C189">
        <v>19517863171999.898</v>
      </c>
    </row>
    <row r="190" spans="1:3" x14ac:dyDescent="0.35">
      <c r="A190" t="s">
        <v>130</v>
      </c>
      <c r="B190" t="s">
        <v>462</v>
      </c>
      <c r="C190">
        <v>281828704.833983</v>
      </c>
    </row>
    <row r="191" spans="1:3" x14ac:dyDescent="0.35">
      <c r="A191" t="s">
        <v>131</v>
      </c>
      <c r="B191" t="s">
        <v>463</v>
      </c>
      <c r="C191">
        <v>83845179700.000107</v>
      </c>
    </row>
    <row r="192" spans="1:3" x14ac:dyDescent="0.35">
      <c r="A192" t="s">
        <v>132</v>
      </c>
      <c r="B192" t="s">
        <v>464</v>
      </c>
      <c r="C192">
        <v>2288492000000</v>
      </c>
    </row>
    <row r="193" spans="1:3" x14ac:dyDescent="0.35">
      <c r="A193" t="s">
        <v>246</v>
      </c>
      <c r="B193" t="s">
        <v>465</v>
      </c>
    </row>
    <row r="194" spans="1:3" x14ac:dyDescent="0.35">
      <c r="A194" t="s">
        <v>247</v>
      </c>
      <c r="B194" t="s">
        <v>466</v>
      </c>
      <c r="C194">
        <v>105126400000</v>
      </c>
    </row>
    <row r="195" spans="1:3" x14ac:dyDescent="0.35">
      <c r="A195" t="s">
        <v>248</v>
      </c>
      <c r="B195" t="s">
        <v>467</v>
      </c>
    </row>
    <row r="196" spans="1:3" x14ac:dyDescent="0.35">
      <c r="A196" t="s">
        <v>133</v>
      </c>
      <c r="B196" t="s">
        <v>468</v>
      </c>
      <c r="C196">
        <v>214374620000</v>
      </c>
    </row>
    <row r="197" spans="1:3" x14ac:dyDescent="0.35">
      <c r="A197" t="s">
        <v>134</v>
      </c>
      <c r="B197" t="s">
        <v>469</v>
      </c>
      <c r="C197">
        <v>236681497060700</v>
      </c>
    </row>
    <row r="198" spans="1:3" x14ac:dyDescent="0.35">
      <c r="A198" t="s">
        <v>176</v>
      </c>
      <c r="B198" t="s">
        <v>470</v>
      </c>
      <c r="C198">
        <v>17133499999.999901</v>
      </c>
    </row>
    <row r="199" spans="1:3" x14ac:dyDescent="0.35">
      <c r="A199" t="s">
        <v>249</v>
      </c>
      <c r="B199" t="s">
        <v>471</v>
      </c>
    </row>
    <row r="200" spans="1:3" x14ac:dyDescent="0.35">
      <c r="A200" t="s">
        <v>250</v>
      </c>
      <c r="B200" t="s">
        <v>472</v>
      </c>
    </row>
    <row r="201" spans="1:3" x14ac:dyDescent="0.35">
      <c r="A201" t="s">
        <v>251</v>
      </c>
      <c r="B201" t="s">
        <v>473</v>
      </c>
      <c r="C201">
        <v>641908000000.00098</v>
      </c>
    </row>
    <row r="202" spans="1:3" x14ac:dyDescent="0.35">
      <c r="A202" t="s">
        <v>135</v>
      </c>
      <c r="B202" t="s">
        <v>474</v>
      </c>
      <c r="C202">
        <v>641991414400</v>
      </c>
    </row>
    <row r="203" spans="1:3" x14ac:dyDescent="0.35">
      <c r="A203" t="s">
        <v>136</v>
      </c>
      <c r="B203" t="s">
        <v>475</v>
      </c>
      <c r="C203">
        <v>1063794600000</v>
      </c>
    </row>
    <row r="204" spans="1:3" x14ac:dyDescent="0.35">
      <c r="A204" t="s">
        <v>137</v>
      </c>
      <c r="B204" t="s">
        <v>476</v>
      </c>
      <c r="C204">
        <v>109608300000000</v>
      </c>
    </row>
    <row r="205" spans="1:3" x14ac:dyDescent="0.35">
      <c r="A205" t="s">
        <v>138</v>
      </c>
      <c r="B205" t="s">
        <v>477</v>
      </c>
      <c r="C205">
        <v>9307647999999.9902</v>
      </c>
    </row>
    <row r="206" spans="1:3" x14ac:dyDescent="0.35">
      <c r="A206" t="s">
        <v>252</v>
      </c>
      <c r="B206" t="s">
        <v>478</v>
      </c>
    </row>
    <row r="207" spans="1:3" x14ac:dyDescent="0.35">
      <c r="A207" t="s">
        <v>139</v>
      </c>
      <c r="B207" t="s">
        <v>479</v>
      </c>
      <c r="C207">
        <v>3144618000000</v>
      </c>
    </row>
    <row r="208" spans="1:3" x14ac:dyDescent="0.35">
      <c r="A208" t="s">
        <v>140</v>
      </c>
      <c r="B208" t="s">
        <v>480</v>
      </c>
      <c r="C208">
        <v>1956453789500</v>
      </c>
    </row>
    <row r="209" spans="1:3" x14ac:dyDescent="0.35">
      <c r="A209" t="s">
        <v>141</v>
      </c>
      <c r="B209" t="s">
        <v>481</v>
      </c>
      <c r="C209">
        <v>13712659000000</v>
      </c>
    </row>
    <row r="210" spans="1:3" x14ac:dyDescent="0.35">
      <c r="A210" t="s">
        <v>142</v>
      </c>
      <c r="B210" t="s">
        <v>482</v>
      </c>
      <c r="C210">
        <v>514153400000.00098</v>
      </c>
    </row>
    <row r="211" spans="1:3" x14ac:dyDescent="0.35">
      <c r="A211" t="s">
        <v>143</v>
      </c>
      <c r="B211" t="s">
        <v>483</v>
      </c>
      <c r="C211">
        <v>13234000000</v>
      </c>
    </row>
    <row r="212" spans="1:3" x14ac:dyDescent="0.35">
      <c r="A212" t="s">
        <v>144</v>
      </c>
      <c r="B212" t="s">
        <v>484</v>
      </c>
      <c r="C212">
        <v>36730875000</v>
      </c>
    </row>
    <row r="213" spans="1:3" x14ac:dyDescent="0.35">
      <c r="A213" t="s">
        <v>145</v>
      </c>
      <c r="B213" t="s">
        <v>485</v>
      </c>
      <c r="C213">
        <v>26881140000</v>
      </c>
    </row>
    <row r="214" spans="1:3" x14ac:dyDescent="0.35">
      <c r="A214" t="s">
        <v>146</v>
      </c>
      <c r="B214" t="s">
        <v>486</v>
      </c>
      <c r="C214">
        <v>1443741367.80001</v>
      </c>
    </row>
    <row r="215" spans="1:3" x14ac:dyDescent="0.35">
      <c r="A215" t="s">
        <v>147</v>
      </c>
      <c r="B215" t="s">
        <v>487</v>
      </c>
      <c r="C215">
        <v>236111333948900</v>
      </c>
    </row>
    <row r="216" spans="1:3" x14ac:dyDescent="0.35">
      <c r="A216" t="s">
        <v>148</v>
      </c>
      <c r="B216" t="s">
        <v>488</v>
      </c>
      <c r="C216">
        <v>5421851300000.0098</v>
      </c>
    </row>
    <row r="217" spans="1:3" x14ac:dyDescent="0.35">
      <c r="A217" t="s">
        <v>253</v>
      </c>
      <c r="B217" t="s">
        <v>489</v>
      </c>
    </row>
    <row r="218" spans="1:3" x14ac:dyDescent="0.35">
      <c r="A218" t="s">
        <v>149</v>
      </c>
      <c r="B218" t="s">
        <v>490</v>
      </c>
    </row>
    <row r="219" spans="1:3" x14ac:dyDescent="0.35">
      <c r="A219" t="s">
        <v>254</v>
      </c>
      <c r="B219" t="s">
        <v>491</v>
      </c>
    </row>
    <row r="220" spans="1:3" x14ac:dyDescent="0.35">
      <c r="A220" t="s">
        <v>255</v>
      </c>
      <c r="B220" t="s">
        <v>492</v>
      </c>
    </row>
    <row r="221" spans="1:3" x14ac:dyDescent="0.35">
      <c r="A221" t="s">
        <v>150</v>
      </c>
      <c r="B221" t="s">
        <v>493</v>
      </c>
      <c r="C221">
        <v>9105669599.9999905</v>
      </c>
    </row>
    <row r="222" spans="1:3" x14ac:dyDescent="0.35">
      <c r="A222" t="s">
        <v>151</v>
      </c>
      <c r="B222" t="s">
        <v>494</v>
      </c>
      <c r="C222">
        <v>31732343000</v>
      </c>
    </row>
    <row r="223" spans="1:3" x14ac:dyDescent="0.35">
      <c r="A223" t="s">
        <v>256</v>
      </c>
      <c r="B223" t="s">
        <v>495</v>
      </c>
      <c r="C223">
        <v>94429734000</v>
      </c>
    </row>
    <row r="224" spans="1:3" x14ac:dyDescent="0.35">
      <c r="A224" t="s">
        <v>152</v>
      </c>
      <c r="B224" t="s">
        <v>496</v>
      </c>
      <c r="C224">
        <v>48582307000</v>
      </c>
    </row>
    <row r="225" spans="1:3" x14ac:dyDescent="0.35">
      <c r="A225" t="s">
        <v>153</v>
      </c>
      <c r="B225" t="s">
        <v>497</v>
      </c>
      <c r="C225">
        <v>5049618999999.9805</v>
      </c>
    </row>
    <row r="226" spans="1:3" x14ac:dyDescent="0.35">
      <c r="A226" t="s">
        <v>154</v>
      </c>
      <c r="B226" t="s">
        <v>498</v>
      </c>
      <c r="C226">
        <v>64964654023.437599</v>
      </c>
    </row>
    <row r="227" spans="1:3" x14ac:dyDescent="0.35">
      <c r="A227" t="s">
        <v>257</v>
      </c>
      <c r="B227" t="s">
        <v>499</v>
      </c>
      <c r="C227">
        <v>2520106000.00001</v>
      </c>
    </row>
    <row r="228" spans="1:3" x14ac:dyDescent="0.35">
      <c r="A228" t="s">
        <v>155</v>
      </c>
      <c r="B228" t="s">
        <v>500</v>
      </c>
      <c r="C228">
        <v>26223795300.000099</v>
      </c>
    </row>
    <row r="229" spans="1:3" x14ac:dyDescent="0.35">
      <c r="A229" t="s">
        <v>156</v>
      </c>
      <c r="B229" t="s">
        <v>501</v>
      </c>
      <c r="C229">
        <v>11620863000000</v>
      </c>
    </row>
    <row r="230" spans="1:3" x14ac:dyDescent="0.35">
      <c r="A230" t="s">
        <v>258</v>
      </c>
      <c r="B230" t="s">
        <v>502</v>
      </c>
      <c r="C230">
        <v>1177285211.72521</v>
      </c>
    </row>
    <row r="231" spans="1:3" x14ac:dyDescent="0.35">
      <c r="A231" t="s">
        <v>157</v>
      </c>
      <c r="B231" t="s">
        <v>503</v>
      </c>
      <c r="C231">
        <v>6629554456200.0195</v>
      </c>
    </row>
    <row r="232" spans="1:3" x14ac:dyDescent="0.35">
      <c r="A232" t="s">
        <v>259</v>
      </c>
      <c r="B232" t="s">
        <v>504</v>
      </c>
    </row>
    <row r="233" spans="1:3" x14ac:dyDescent="0.35">
      <c r="A233" t="s">
        <v>260</v>
      </c>
      <c r="B233" t="s">
        <v>505</v>
      </c>
    </row>
    <row r="234" spans="1:3" x14ac:dyDescent="0.35">
      <c r="A234" t="s">
        <v>158</v>
      </c>
      <c r="B234" t="s">
        <v>506</v>
      </c>
      <c r="C234">
        <v>4097100000000</v>
      </c>
    </row>
    <row r="235" spans="1:3" x14ac:dyDescent="0.35">
      <c r="A235" t="s">
        <v>159</v>
      </c>
      <c r="B235" t="s">
        <v>507</v>
      </c>
      <c r="C235">
        <v>16889174000000</v>
      </c>
    </row>
    <row r="236" spans="1:3" x14ac:dyDescent="0.35">
      <c r="A236" t="s">
        <v>160</v>
      </c>
      <c r="B236" t="s">
        <v>508</v>
      </c>
      <c r="C236">
        <v>79109800000</v>
      </c>
    </row>
    <row r="237" spans="1:3" x14ac:dyDescent="0.35">
      <c r="A237" t="s">
        <v>161</v>
      </c>
      <c r="B237" t="s">
        <v>509</v>
      </c>
      <c r="C237">
        <v>158315000000</v>
      </c>
    </row>
    <row r="238" spans="1:3" x14ac:dyDescent="0.35">
      <c r="A238" t="s">
        <v>261</v>
      </c>
      <c r="B238" t="s">
        <v>510</v>
      </c>
    </row>
    <row r="239" spans="1:3" x14ac:dyDescent="0.35">
      <c r="A239" t="s">
        <v>162</v>
      </c>
      <c r="B239" t="s">
        <v>511</v>
      </c>
      <c r="C239">
        <v>2027033999.99999</v>
      </c>
    </row>
    <row r="240" spans="1:3" x14ac:dyDescent="0.35">
      <c r="A240" t="s">
        <v>262</v>
      </c>
      <c r="B240" t="s">
        <v>512</v>
      </c>
    </row>
    <row r="241" spans="1:3" x14ac:dyDescent="0.35">
      <c r="A241" t="s">
        <v>163</v>
      </c>
      <c r="B241" t="s">
        <v>513</v>
      </c>
      <c r="C241">
        <v>1163344000</v>
      </c>
    </row>
    <row r="242" spans="1:3" x14ac:dyDescent="0.35">
      <c r="A242" t="s">
        <v>263</v>
      </c>
      <c r="B242" t="s">
        <v>514</v>
      </c>
    </row>
    <row r="243" spans="1:3" x14ac:dyDescent="0.35">
      <c r="A243" t="s">
        <v>264</v>
      </c>
      <c r="B243" t="s">
        <v>515</v>
      </c>
    </row>
    <row r="244" spans="1:3" x14ac:dyDescent="0.35">
      <c r="A244" t="s">
        <v>164</v>
      </c>
      <c r="B244" t="s">
        <v>516</v>
      </c>
      <c r="C244">
        <v>160588577300</v>
      </c>
    </row>
    <row r="245" spans="1:3" x14ac:dyDescent="0.35">
      <c r="A245" t="s">
        <v>165</v>
      </c>
      <c r="B245" t="s">
        <v>517</v>
      </c>
      <c r="C245">
        <v>122969000000</v>
      </c>
    </row>
    <row r="246" spans="1:3" x14ac:dyDescent="0.35">
      <c r="A246" t="s">
        <v>166</v>
      </c>
      <c r="B246" t="s">
        <v>518</v>
      </c>
      <c r="C246">
        <v>4317809999999.9902</v>
      </c>
    </row>
    <row r="247" spans="1:3" x14ac:dyDescent="0.35">
      <c r="A247" t="s">
        <v>167</v>
      </c>
      <c r="B247" t="s">
        <v>519</v>
      </c>
      <c r="C247">
        <v>77856600.000000298</v>
      </c>
    </row>
    <row r="248" spans="1:3" x14ac:dyDescent="0.35">
      <c r="A248" t="s">
        <v>168</v>
      </c>
      <c r="B248" t="s">
        <v>520</v>
      </c>
      <c r="C248">
        <v>139641854498000</v>
      </c>
    </row>
    <row r="249" spans="1:3" x14ac:dyDescent="0.35">
      <c r="A249" t="s">
        <v>169</v>
      </c>
      <c r="B249" t="s">
        <v>521</v>
      </c>
      <c r="C249">
        <v>132089774790000</v>
      </c>
    </row>
    <row r="250" spans="1:3" x14ac:dyDescent="0.35">
      <c r="A250" t="s">
        <v>170</v>
      </c>
      <c r="B250" t="s">
        <v>522</v>
      </c>
      <c r="C250">
        <v>3977198000000.0098</v>
      </c>
    </row>
    <row r="251" spans="1:3" x14ac:dyDescent="0.35">
      <c r="A251" t="s">
        <v>265</v>
      </c>
      <c r="B251" t="s">
        <v>523</v>
      </c>
    </row>
    <row r="252" spans="1:3" x14ac:dyDescent="0.35">
      <c r="A252" t="s">
        <v>171</v>
      </c>
      <c r="B252" t="s">
        <v>524</v>
      </c>
      <c r="C252">
        <v>2193673619832.1299</v>
      </c>
    </row>
    <row r="253" spans="1:3" x14ac:dyDescent="0.35">
      <c r="A253" t="s">
        <v>172</v>
      </c>
      <c r="B253" t="s">
        <v>525</v>
      </c>
      <c r="C253">
        <v>21521395000000</v>
      </c>
    </row>
    <row r="254" spans="1:3" x14ac:dyDescent="0.35">
      <c r="A254" t="s">
        <v>173</v>
      </c>
      <c r="B254" t="s">
        <v>526</v>
      </c>
      <c r="C254">
        <v>532712511999999</v>
      </c>
    </row>
    <row r="255" spans="1:3" x14ac:dyDescent="0.35">
      <c r="A255" t="s">
        <v>266</v>
      </c>
      <c r="B255" t="s">
        <v>527</v>
      </c>
      <c r="C255">
        <v>2459069999.99999</v>
      </c>
    </row>
    <row r="256" spans="1:3" x14ac:dyDescent="0.35">
      <c r="A256" t="s">
        <v>267</v>
      </c>
      <c r="B256" t="s">
        <v>528</v>
      </c>
    </row>
    <row r="257" spans="1:3" x14ac:dyDescent="0.35">
      <c r="A257" t="s">
        <v>268</v>
      </c>
      <c r="B257" t="s">
        <v>529</v>
      </c>
    </row>
    <row r="258" spans="1:3" x14ac:dyDescent="0.35">
      <c r="A258" t="s">
        <v>269</v>
      </c>
      <c r="B258" t="s">
        <v>530</v>
      </c>
      <c r="C258">
        <v>4120999999.99999</v>
      </c>
    </row>
    <row r="259" spans="1:3" x14ac:dyDescent="0.35">
      <c r="A259" t="s">
        <v>270</v>
      </c>
      <c r="B259" t="s">
        <v>531</v>
      </c>
      <c r="C259">
        <v>7707200290000000</v>
      </c>
    </row>
    <row r="260" spans="1:3" x14ac:dyDescent="0.35">
      <c r="A260" t="s">
        <v>175</v>
      </c>
      <c r="B260" t="s">
        <v>532</v>
      </c>
      <c r="C260">
        <v>107450000000</v>
      </c>
    </row>
    <row r="261" spans="1:3" x14ac:dyDescent="0.35">
      <c r="A261" t="s">
        <v>271</v>
      </c>
      <c r="B261" t="s">
        <v>533</v>
      </c>
    </row>
    <row r="262" spans="1:3" x14ac:dyDescent="0.35">
      <c r="A262" t="s">
        <v>177</v>
      </c>
      <c r="B262" t="s">
        <v>534</v>
      </c>
      <c r="C262">
        <v>2390088800.00001</v>
      </c>
    </row>
    <row r="263" spans="1:3" x14ac:dyDescent="0.35">
      <c r="A263" t="s">
        <v>89</v>
      </c>
      <c r="B263" t="s">
        <v>535</v>
      </c>
      <c r="C263">
        <v>7056171999.9999704</v>
      </c>
    </row>
    <row r="264" spans="1:3" x14ac:dyDescent="0.35">
      <c r="A264" t="s">
        <v>272</v>
      </c>
      <c r="B264" t="s">
        <v>536</v>
      </c>
    </row>
    <row r="265" spans="1:3" x14ac:dyDescent="0.35">
      <c r="A265" t="s">
        <v>178</v>
      </c>
      <c r="B265" t="s">
        <v>537</v>
      </c>
      <c r="C265">
        <v>5625206549500</v>
      </c>
    </row>
    <row r="266" spans="1:3" x14ac:dyDescent="0.35">
      <c r="A266" t="s">
        <v>179</v>
      </c>
      <c r="B266" t="s">
        <v>538</v>
      </c>
      <c r="C266">
        <v>300448727700</v>
      </c>
    </row>
    <row r="267" spans="1:3" x14ac:dyDescent="0.35">
      <c r="A267" t="s">
        <v>180</v>
      </c>
      <c r="B267" t="s">
        <v>539</v>
      </c>
      <c r="C267">
        <v>212174391900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1080-9C1C-4B2F-8A36-CD77D93FABFC}">
  <dimension ref="A1:C267"/>
  <sheetViews>
    <sheetView workbookViewId="0">
      <selection activeCell="D1" sqref="D1:D1048576"/>
    </sheetView>
  </sheetViews>
  <sheetFormatPr defaultRowHeight="14.5" x14ac:dyDescent="0.35"/>
  <cols>
    <col min="1" max="1" width="23.6328125" customWidth="1"/>
    <col min="2" max="2" width="13.1796875" customWidth="1"/>
    <col min="3" max="3" width="16.26953125" bestFit="1" customWidth="1"/>
  </cols>
  <sheetData>
    <row r="1" spans="1:3" x14ac:dyDescent="0.35">
      <c r="A1" t="s">
        <v>182</v>
      </c>
      <c r="B1" t="s">
        <v>273</v>
      </c>
      <c r="C1" t="s">
        <v>579</v>
      </c>
    </row>
    <row r="2" spans="1:3" x14ac:dyDescent="0.35">
      <c r="A2" t="s">
        <v>1</v>
      </c>
      <c r="B2" t="str">
        <f>VLOOKUP(A2,GDP_LCU!A:B,2,FALSE)</f>
        <v>ABW</v>
      </c>
      <c r="C2">
        <v>3278570000</v>
      </c>
    </row>
    <row r="3" spans="1:3" x14ac:dyDescent="0.35">
      <c r="A3" t="s">
        <v>183</v>
      </c>
      <c r="B3" t="str">
        <f>VLOOKUP(A3,GDP_LCU!A:B,2,FALSE)</f>
        <v>AFE</v>
      </c>
      <c r="C3" t="s">
        <v>585</v>
      </c>
    </row>
    <row r="4" spans="1:3" x14ac:dyDescent="0.35">
      <c r="A4" t="s">
        <v>2</v>
      </c>
      <c r="B4" t="str">
        <f>VLOOKUP(A4,GDP_LCU!A:B,2,FALSE)</f>
        <v>AFG</v>
      </c>
      <c r="C4" t="s">
        <v>585</v>
      </c>
    </row>
    <row r="5" spans="1:3" x14ac:dyDescent="0.35">
      <c r="A5" t="s">
        <v>184</v>
      </c>
      <c r="B5" t="str">
        <f>VLOOKUP(A5,GDP_LCU!A:B,2,FALSE)</f>
        <v>AFW</v>
      </c>
      <c r="C5" t="s">
        <v>585</v>
      </c>
    </row>
    <row r="6" spans="1:3" x14ac:dyDescent="0.35">
      <c r="A6" t="s">
        <v>3</v>
      </c>
      <c r="B6" t="str">
        <f>VLOOKUP(A6,GDP_LCU!A:B,2,FALSE)</f>
        <v>AGO</v>
      </c>
      <c r="C6">
        <v>15146080000000</v>
      </c>
    </row>
    <row r="7" spans="1:3" x14ac:dyDescent="0.35">
      <c r="A7" t="s">
        <v>5</v>
      </c>
      <c r="B7" t="str">
        <f>VLOOKUP(A7,GDP_LCU!A:B,2,FALSE)</f>
        <v>ALB</v>
      </c>
      <c r="C7">
        <v>1353526016200</v>
      </c>
    </row>
    <row r="8" spans="1:3" x14ac:dyDescent="0.35">
      <c r="A8" t="s">
        <v>185</v>
      </c>
      <c r="B8" t="str">
        <f>VLOOKUP(A8,GDP_LCU!A:B,2,FALSE)</f>
        <v>AND</v>
      </c>
      <c r="C8" t="s">
        <v>585</v>
      </c>
    </row>
    <row r="9" spans="1:3" x14ac:dyDescent="0.35">
      <c r="A9" t="s">
        <v>186</v>
      </c>
      <c r="B9" t="str">
        <f>VLOOKUP(A9,GDP_LCU!A:B,2,FALSE)</f>
        <v>ARB</v>
      </c>
      <c r="C9" t="s">
        <v>585</v>
      </c>
    </row>
    <row r="10" spans="1:3" x14ac:dyDescent="0.35">
      <c r="A10" t="s">
        <v>6</v>
      </c>
      <c r="B10" t="str">
        <f>VLOOKUP(A10,GDP_LCU!A:B,2,FALSE)</f>
        <v>ARE</v>
      </c>
      <c r="C10">
        <v>601625266899.99695</v>
      </c>
    </row>
    <row r="11" spans="1:3" x14ac:dyDescent="0.35">
      <c r="A11" t="s">
        <v>7</v>
      </c>
      <c r="B11" t="str">
        <f>VLOOKUP(A11,GDP_LCU!A:B,2,FALSE)</f>
        <v>ARG</v>
      </c>
      <c r="C11">
        <v>14256078760800</v>
      </c>
    </row>
    <row r="12" spans="1:3" x14ac:dyDescent="0.35">
      <c r="A12" t="s">
        <v>8</v>
      </c>
      <c r="B12" t="str">
        <f>VLOOKUP(A12,GDP_LCU!A:B,2,FALSE)</f>
        <v>ARM</v>
      </c>
      <c r="C12">
        <v>5459712499999.9902</v>
      </c>
    </row>
    <row r="13" spans="1:3" x14ac:dyDescent="0.35">
      <c r="A13" t="s">
        <v>187</v>
      </c>
      <c r="B13" t="str">
        <f>VLOOKUP(A13,GDP_LCU!A:B,2,FALSE)</f>
        <v>ASM</v>
      </c>
      <c r="C13">
        <v>509000000</v>
      </c>
    </row>
    <row r="14" spans="1:3" x14ac:dyDescent="0.35">
      <c r="A14" t="s">
        <v>9</v>
      </c>
      <c r="B14" t="str">
        <f>VLOOKUP(A14,GDP_LCU!A:B,2,FALSE)</f>
        <v>ATG</v>
      </c>
      <c r="C14" t="s">
        <v>585</v>
      </c>
    </row>
    <row r="15" spans="1:3" x14ac:dyDescent="0.35">
      <c r="A15" t="s">
        <v>10</v>
      </c>
      <c r="B15" t="str">
        <f>VLOOKUP(A15,GDP_LCU!A:B,2,FALSE)</f>
        <v>AUS</v>
      </c>
      <c r="C15">
        <v>1051491000000</v>
      </c>
    </row>
    <row r="16" spans="1:3" x14ac:dyDescent="0.35">
      <c r="A16" t="s">
        <v>11</v>
      </c>
      <c r="B16" t="str">
        <f>VLOOKUP(A16,GDP_LCU!A:B,2,FALSE)</f>
        <v>AUT</v>
      </c>
      <c r="C16">
        <v>204754180000</v>
      </c>
    </row>
    <row r="17" spans="1:3" x14ac:dyDescent="0.35">
      <c r="A17" t="s">
        <v>12</v>
      </c>
      <c r="B17" t="str">
        <f>VLOOKUP(A17,GDP_LCU!A:B,2,FALSE)</f>
        <v>AZE</v>
      </c>
      <c r="C17">
        <v>47095799999.999901</v>
      </c>
    </row>
    <row r="18" spans="1:3" x14ac:dyDescent="0.35">
      <c r="A18" t="s">
        <v>13</v>
      </c>
      <c r="B18" t="str">
        <f>VLOOKUP(A18,GDP_LCU!A:B,2,FALSE)</f>
        <v>BDI</v>
      </c>
      <c r="C18">
        <v>4298041148100</v>
      </c>
    </row>
    <row r="19" spans="1:3" x14ac:dyDescent="0.35">
      <c r="A19" t="s">
        <v>14</v>
      </c>
      <c r="B19" t="str">
        <f>VLOOKUP(A19,GDP_LCU!A:B,2,FALSE)</f>
        <v>BEL</v>
      </c>
      <c r="C19">
        <v>245666800000</v>
      </c>
    </row>
    <row r="20" spans="1:3" x14ac:dyDescent="0.35">
      <c r="A20" t="s">
        <v>15</v>
      </c>
      <c r="B20" t="str">
        <f>VLOOKUP(A20,GDP_LCU!A:B,2,FALSE)</f>
        <v>BEN</v>
      </c>
      <c r="C20">
        <v>5771739692100.0195</v>
      </c>
    </row>
    <row r="21" spans="1:3" x14ac:dyDescent="0.35">
      <c r="A21" t="s">
        <v>16</v>
      </c>
      <c r="B21" t="str">
        <f>VLOOKUP(A21,GDP_LCU!A:B,2,FALSE)</f>
        <v>BFA</v>
      </c>
      <c r="C21">
        <v>5789916000000.0098</v>
      </c>
    </row>
    <row r="22" spans="1:3" x14ac:dyDescent="0.35">
      <c r="A22" t="s">
        <v>17</v>
      </c>
      <c r="B22" t="str">
        <f>VLOOKUP(A22,GDP_LCU!A:B,2,FALSE)</f>
        <v>BGD</v>
      </c>
      <c r="C22">
        <v>19738395000000</v>
      </c>
    </row>
    <row r="23" spans="1:3" x14ac:dyDescent="0.35">
      <c r="A23" t="s">
        <v>18</v>
      </c>
      <c r="B23" t="str">
        <f>VLOOKUP(A23,GDP_LCU!A:B,2,FALSE)</f>
        <v>BGR</v>
      </c>
      <c r="C23">
        <v>71096587999.999802</v>
      </c>
    </row>
    <row r="24" spans="1:3" x14ac:dyDescent="0.35">
      <c r="A24" t="s">
        <v>19</v>
      </c>
      <c r="B24" t="str">
        <f>VLOOKUP(A24,GDP_LCU!A:B,2,FALSE)</f>
        <v>BHR</v>
      </c>
      <c r="C24">
        <v>5871899999.9999905</v>
      </c>
    </row>
    <row r="25" spans="1:3" x14ac:dyDescent="0.35">
      <c r="A25" t="s">
        <v>20</v>
      </c>
      <c r="B25" t="str">
        <f>VLOOKUP(A25,GDP_LCU!A:B,2,FALSE)</f>
        <v>BHS</v>
      </c>
      <c r="C25">
        <v>7976799999.9999704</v>
      </c>
    </row>
    <row r="26" spans="1:3" x14ac:dyDescent="0.35">
      <c r="A26" t="s">
        <v>21</v>
      </c>
      <c r="B26" t="str">
        <f>VLOOKUP(A26,GDP_LCU!A:B,2,FALSE)</f>
        <v>BIH</v>
      </c>
      <c r="C26">
        <v>25886036000</v>
      </c>
    </row>
    <row r="27" spans="1:3" x14ac:dyDescent="0.35">
      <c r="A27" t="s">
        <v>22</v>
      </c>
      <c r="B27" t="str">
        <f>VLOOKUP(A27,GDP_LCU!A:B,2,FALSE)</f>
        <v>BLR</v>
      </c>
      <c r="C27">
        <v>72705999999.999893</v>
      </c>
    </row>
    <row r="28" spans="1:3" x14ac:dyDescent="0.35">
      <c r="A28" t="s">
        <v>23</v>
      </c>
      <c r="B28" t="str">
        <f>VLOOKUP(A28,GDP_LCU!A:B,2,FALSE)</f>
        <v>BLZ</v>
      </c>
      <c r="C28">
        <v>2752410058.4205098</v>
      </c>
    </row>
    <row r="29" spans="1:3" x14ac:dyDescent="0.35">
      <c r="A29" t="s">
        <v>188</v>
      </c>
      <c r="B29" t="str">
        <f>VLOOKUP(A29,GDP_LCU!A:B,2,FALSE)</f>
        <v>BMU</v>
      </c>
      <c r="C29">
        <v>3576303000</v>
      </c>
    </row>
    <row r="30" spans="1:3" x14ac:dyDescent="0.35">
      <c r="A30" t="s">
        <v>24</v>
      </c>
      <c r="B30" t="str">
        <f>VLOOKUP(A30,GDP_LCU!A:B,2,FALSE)</f>
        <v>BOL</v>
      </c>
      <c r="C30">
        <v>193415547300</v>
      </c>
    </row>
    <row r="31" spans="1:3" x14ac:dyDescent="0.35">
      <c r="A31" t="s">
        <v>25</v>
      </c>
      <c r="B31" t="str">
        <f>VLOOKUP(A31,GDP_LCU!A:B,2,FALSE)</f>
        <v>BRA</v>
      </c>
      <c r="C31">
        <v>4813579000700</v>
      </c>
    </row>
    <row r="32" spans="1:3" x14ac:dyDescent="0.35">
      <c r="A32" t="s">
        <v>26</v>
      </c>
      <c r="B32" t="str">
        <f>VLOOKUP(A32,GDP_LCU!A:B,2,FALSE)</f>
        <v>BRB</v>
      </c>
      <c r="C32">
        <v>7932154000</v>
      </c>
    </row>
    <row r="33" spans="1:3" x14ac:dyDescent="0.35">
      <c r="A33" t="s">
        <v>27</v>
      </c>
      <c r="B33" t="str">
        <f>VLOOKUP(A33,GDP_LCU!A:B,2,FALSE)</f>
        <v>BRN</v>
      </c>
      <c r="C33">
        <v>3757937300</v>
      </c>
    </row>
    <row r="34" spans="1:3" x14ac:dyDescent="0.35">
      <c r="A34" t="s">
        <v>28</v>
      </c>
      <c r="B34" t="str">
        <f>VLOOKUP(A34,GDP_LCU!A:B,2,FALSE)</f>
        <v>BTN</v>
      </c>
      <c r="C34">
        <v>92481339999.999695</v>
      </c>
    </row>
    <row r="35" spans="1:3" x14ac:dyDescent="0.35">
      <c r="A35" t="s">
        <v>29</v>
      </c>
      <c r="B35" t="str">
        <f>VLOOKUP(A35,GDP_LCU!A:B,2,FALSE)</f>
        <v>BWA</v>
      </c>
      <c r="C35">
        <v>79611759900</v>
      </c>
    </row>
    <row r="36" spans="1:3" x14ac:dyDescent="0.35">
      <c r="A36" t="s">
        <v>30</v>
      </c>
      <c r="B36" t="str">
        <f>VLOOKUP(A36,GDP_LCU!A:B,2,FALSE)</f>
        <v>CAF</v>
      </c>
      <c r="C36">
        <v>1250581506900</v>
      </c>
    </row>
    <row r="37" spans="1:3" x14ac:dyDescent="0.35">
      <c r="A37" t="s">
        <v>31</v>
      </c>
      <c r="B37" t="str">
        <f>VLOOKUP(A37,GDP_LCU!A:B,2,FALSE)</f>
        <v>CAN</v>
      </c>
      <c r="C37">
        <v>1336188000000</v>
      </c>
    </row>
    <row r="38" spans="1:3" x14ac:dyDescent="0.35">
      <c r="A38" t="s">
        <v>189</v>
      </c>
      <c r="B38" t="str">
        <f>VLOOKUP(A38,GDP_LCU!A:B,2,FALSE)</f>
        <v>CEB</v>
      </c>
      <c r="C38" t="s">
        <v>585</v>
      </c>
    </row>
    <row r="39" spans="1:3" x14ac:dyDescent="0.35">
      <c r="A39" t="s">
        <v>32</v>
      </c>
      <c r="B39" t="str">
        <f>VLOOKUP(A39,GDP_LCU!A:B,2,FALSE)</f>
        <v>CHE</v>
      </c>
      <c r="C39">
        <v>375673974000</v>
      </c>
    </row>
    <row r="40" spans="1:3" x14ac:dyDescent="0.35">
      <c r="A40" t="s">
        <v>190</v>
      </c>
      <c r="B40" t="str">
        <f>VLOOKUP(A40,GDP_LCU!A:B,2,FALSE)</f>
        <v>CHI</v>
      </c>
      <c r="C40" t="s">
        <v>585</v>
      </c>
    </row>
    <row r="41" spans="1:3" x14ac:dyDescent="0.35">
      <c r="A41" t="s">
        <v>33</v>
      </c>
      <c r="B41" t="str">
        <f>VLOOKUP(A41,GDP_LCU!A:B,2,FALSE)</f>
        <v>CHL</v>
      </c>
      <c r="C41">
        <v>120583344531700</v>
      </c>
    </row>
    <row r="42" spans="1:3" x14ac:dyDescent="0.35">
      <c r="A42" t="s">
        <v>34</v>
      </c>
      <c r="B42" t="str">
        <f>VLOOKUP(A42,GDP_LCU!A:B,2,FALSE)</f>
        <v>CHN</v>
      </c>
      <c r="C42">
        <v>38718809952500</v>
      </c>
    </row>
    <row r="43" spans="1:3" x14ac:dyDescent="0.35">
      <c r="A43" t="s">
        <v>35</v>
      </c>
      <c r="B43" t="str">
        <f>VLOOKUP(A43,GDP_LCU!A:B,2,FALSE)</f>
        <v>CIV</v>
      </c>
      <c r="C43">
        <v>23534824000000.102</v>
      </c>
    </row>
    <row r="44" spans="1:3" x14ac:dyDescent="0.35">
      <c r="A44" t="s">
        <v>36</v>
      </c>
      <c r="B44" t="str">
        <f>VLOOKUP(A44,GDP_LCU!A:B,2,FALSE)</f>
        <v>CMR</v>
      </c>
      <c r="C44">
        <v>16885901000000</v>
      </c>
    </row>
    <row r="45" spans="1:3" x14ac:dyDescent="0.35">
      <c r="A45" t="s">
        <v>192</v>
      </c>
      <c r="B45" t="str">
        <f>VLOOKUP(A45,GDP_LCU!A:B,2,FALSE)</f>
        <v>COD</v>
      </c>
      <c r="C45">
        <v>64818397251000</v>
      </c>
    </row>
    <row r="46" spans="1:3" x14ac:dyDescent="0.35">
      <c r="A46" t="s">
        <v>193</v>
      </c>
      <c r="B46" t="str">
        <f>VLOOKUP(A46,GDP_LCU!A:B,2,FALSE)</f>
        <v>COG</v>
      </c>
      <c r="C46">
        <v>3278668347200</v>
      </c>
    </row>
    <row r="47" spans="1:3" x14ac:dyDescent="0.35">
      <c r="A47" t="s">
        <v>37</v>
      </c>
      <c r="B47" t="str">
        <f>VLOOKUP(A47,GDP_LCU!A:B,2,FALSE)</f>
        <v>COL</v>
      </c>
      <c r="C47">
        <v>727934000000001</v>
      </c>
    </row>
    <row r="48" spans="1:3" x14ac:dyDescent="0.35">
      <c r="A48" t="s">
        <v>38</v>
      </c>
      <c r="B48" t="str">
        <f>VLOOKUP(A48,GDP_LCU!A:B,2,FALSE)</f>
        <v>COM</v>
      </c>
      <c r="C48">
        <v>493087000000</v>
      </c>
    </row>
    <row r="49" spans="1:3" x14ac:dyDescent="0.35">
      <c r="A49" t="s">
        <v>39</v>
      </c>
      <c r="B49" t="str">
        <f>VLOOKUP(A49,GDP_LCU!A:B,2,FALSE)</f>
        <v>CPV</v>
      </c>
      <c r="C49">
        <v>148505697999.99899</v>
      </c>
    </row>
    <row r="50" spans="1:3" x14ac:dyDescent="0.35">
      <c r="A50" t="s">
        <v>40</v>
      </c>
      <c r="B50" t="str">
        <f>VLOOKUP(A50,GDP_LCU!A:B,2,FALSE)</f>
        <v>CRI</v>
      </c>
      <c r="C50">
        <v>24324029648000</v>
      </c>
    </row>
    <row r="51" spans="1:3" x14ac:dyDescent="0.35">
      <c r="A51" t="s">
        <v>194</v>
      </c>
      <c r="B51" t="str">
        <f>VLOOKUP(A51,GDP_LCU!A:B,2,FALSE)</f>
        <v>CSS</v>
      </c>
      <c r="C51" t="s">
        <v>585</v>
      </c>
    </row>
    <row r="52" spans="1:3" x14ac:dyDescent="0.35">
      <c r="A52" t="s">
        <v>41</v>
      </c>
      <c r="B52" t="str">
        <f>VLOOKUP(A52,GDP_LCU!A:B,2,FALSE)</f>
        <v>CUB</v>
      </c>
      <c r="C52">
        <v>56539999999.999901</v>
      </c>
    </row>
    <row r="53" spans="1:3" x14ac:dyDescent="0.35">
      <c r="A53" t="s">
        <v>195</v>
      </c>
      <c r="B53" t="str">
        <f>VLOOKUP(A53,GDP_LCU!A:B,2,FALSE)</f>
        <v>CUW</v>
      </c>
      <c r="C53" t="s">
        <v>585</v>
      </c>
    </row>
    <row r="54" spans="1:3" x14ac:dyDescent="0.35">
      <c r="A54" t="s">
        <v>196</v>
      </c>
      <c r="B54" t="str">
        <f>VLOOKUP(A54,GDP_LCU!A:B,2,FALSE)</f>
        <v>CYM</v>
      </c>
      <c r="C54" t="s">
        <v>585</v>
      </c>
    </row>
    <row r="55" spans="1:3" x14ac:dyDescent="0.35">
      <c r="A55" t="s">
        <v>42</v>
      </c>
      <c r="B55" t="str">
        <f>VLOOKUP(A55,GDP_LCU!A:B,2,FALSE)</f>
        <v>CYP</v>
      </c>
      <c r="C55">
        <v>14622467999.999901</v>
      </c>
    </row>
    <row r="56" spans="1:3" x14ac:dyDescent="0.35">
      <c r="A56" t="s">
        <v>43</v>
      </c>
      <c r="B56" t="str">
        <f>VLOOKUP(A56,GDP_LCU!A:B,2,FALSE)</f>
        <v>CZE</v>
      </c>
      <c r="C56">
        <v>2711342000000</v>
      </c>
    </row>
    <row r="57" spans="1:3" x14ac:dyDescent="0.35">
      <c r="A57" t="s">
        <v>44</v>
      </c>
      <c r="B57" t="str">
        <f>VLOOKUP(A57,GDP_LCU!A:B,2,FALSE)</f>
        <v>DEU</v>
      </c>
      <c r="C57">
        <v>1804533000000</v>
      </c>
    </row>
    <row r="58" spans="1:3" x14ac:dyDescent="0.35">
      <c r="A58" t="s">
        <v>45</v>
      </c>
      <c r="B58" t="str">
        <f>VLOOKUP(A58,GDP_LCU!A:B,2,FALSE)</f>
        <v>DJI</v>
      </c>
      <c r="C58">
        <v>359076602300</v>
      </c>
    </row>
    <row r="59" spans="1:3" x14ac:dyDescent="0.35">
      <c r="A59" t="s">
        <v>46</v>
      </c>
      <c r="B59" t="str">
        <f>VLOOKUP(A59,GDP_LCU!A:B,2,FALSE)</f>
        <v>DMA</v>
      </c>
      <c r="C59" t="s">
        <v>585</v>
      </c>
    </row>
    <row r="60" spans="1:3" x14ac:dyDescent="0.35">
      <c r="A60" t="s">
        <v>47</v>
      </c>
      <c r="B60" t="str">
        <f>VLOOKUP(A60,GDP_LCU!A:B,2,FALSE)</f>
        <v>DNK</v>
      </c>
      <c r="C60">
        <v>1084975946000</v>
      </c>
    </row>
    <row r="61" spans="1:3" x14ac:dyDescent="0.35">
      <c r="A61" t="s">
        <v>48</v>
      </c>
      <c r="B61" t="str">
        <f>VLOOKUP(A61,GDP_LCU!A:B,2,FALSE)</f>
        <v>DOM</v>
      </c>
      <c r="C61">
        <v>3093147936900</v>
      </c>
    </row>
    <row r="62" spans="1:3" x14ac:dyDescent="0.35">
      <c r="A62" t="s">
        <v>49</v>
      </c>
      <c r="B62" t="str">
        <f>VLOOKUP(A62,GDP_LCU!A:B,2,FALSE)</f>
        <v>DZA</v>
      </c>
      <c r="C62">
        <v>9882648000000</v>
      </c>
    </row>
    <row r="63" spans="1:3" x14ac:dyDescent="0.35">
      <c r="A63" t="s">
        <v>197</v>
      </c>
      <c r="B63" t="str">
        <f>VLOOKUP(A63,GDP_LCU!A:B,2,FALSE)</f>
        <v>EAP</v>
      </c>
      <c r="C63" t="s">
        <v>585</v>
      </c>
    </row>
    <row r="64" spans="1:3" x14ac:dyDescent="0.35">
      <c r="A64" t="s">
        <v>198</v>
      </c>
      <c r="B64" t="str">
        <f>VLOOKUP(A64,GDP_LCU!A:B,2,FALSE)</f>
        <v>EAR</v>
      </c>
      <c r="C64" t="s">
        <v>585</v>
      </c>
    </row>
    <row r="65" spans="1:3" x14ac:dyDescent="0.35">
      <c r="A65" t="s">
        <v>199</v>
      </c>
      <c r="B65" t="str">
        <f>VLOOKUP(A65,GDP_LCU!A:B,2,FALSE)</f>
        <v>EAS</v>
      </c>
      <c r="C65" t="s">
        <v>585</v>
      </c>
    </row>
    <row r="66" spans="1:3" x14ac:dyDescent="0.35">
      <c r="A66" t="s">
        <v>200</v>
      </c>
      <c r="B66" t="str">
        <f>VLOOKUP(A66,GDP_LCU!A:B,2,FALSE)</f>
        <v>ECA</v>
      </c>
      <c r="C66" t="s">
        <v>585</v>
      </c>
    </row>
    <row r="67" spans="1:3" x14ac:dyDescent="0.35">
      <c r="A67" t="s">
        <v>201</v>
      </c>
      <c r="B67" t="str">
        <f>VLOOKUP(A67,GDP_LCU!A:B,2,FALSE)</f>
        <v>ECS</v>
      </c>
      <c r="C67" t="s">
        <v>585</v>
      </c>
    </row>
    <row r="68" spans="1:3" x14ac:dyDescent="0.35">
      <c r="A68" t="s">
        <v>50</v>
      </c>
      <c r="B68" t="str">
        <f>VLOOKUP(A68,GDP_LCU!A:B,2,FALSE)</f>
        <v>ECU</v>
      </c>
      <c r="C68">
        <v>68594786000</v>
      </c>
    </row>
    <row r="69" spans="1:3" x14ac:dyDescent="0.35">
      <c r="A69" t="s">
        <v>202</v>
      </c>
      <c r="B69" t="str">
        <f>VLOOKUP(A69,GDP_LCU!A:B,2,FALSE)</f>
        <v>EGY</v>
      </c>
      <c r="C69">
        <v>4504600000000</v>
      </c>
    </row>
    <row r="70" spans="1:3" x14ac:dyDescent="0.35">
      <c r="A70" t="s">
        <v>203</v>
      </c>
      <c r="B70" t="str">
        <f>VLOOKUP(A70,GDP_LCU!A:B,2,FALSE)</f>
        <v>EMU</v>
      </c>
      <c r="C70" t="s">
        <v>585</v>
      </c>
    </row>
    <row r="71" spans="1:3" x14ac:dyDescent="0.35">
      <c r="A71" t="s">
        <v>51</v>
      </c>
      <c r="B71" t="str">
        <f>VLOOKUP(A71,GDP_LCU!A:B,2,FALSE)</f>
        <v>ERI</v>
      </c>
      <c r="C71" t="s">
        <v>585</v>
      </c>
    </row>
    <row r="72" spans="1:3" x14ac:dyDescent="0.35">
      <c r="A72" t="s">
        <v>52</v>
      </c>
      <c r="B72" t="str">
        <f>VLOOKUP(A72,GDP_LCU!A:B,2,FALSE)</f>
        <v>ESP</v>
      </c>
      <c r="C72">
        <v>714535000000.00195</v>
      </c>
    </row>
    <row r="73" spans="1:3" x14ac:dyDescent="0.35">
      <c r="A73" t="s">
        <v>53</v>
      </c>
      <c r="B73" t="str">
        <f>VLOOKUP(A73,GDP_LCU!A:B,2,FALSE)</f>
        <v>EST</v>
      </c>
      <c r="C73">
        <v>13963871000</v>
      </c>
    </row>
    <row r="74" spans="1:3" x14ac:dyDescent="0.35">
      <c r="A74" t="s">
        <v>54</v>
      </c>
      <c r="B74" t="str">
        <f>VLOOKUP(A74,GDP_LCU!A:B,2,FALSE)</f>
        <v>ETH</v>
      </c>
      <c r="C74">
        <v>1848070000000</v>
      </c>
    </row>
    <row r="75" spans="1:3" x14ac:dyDescent="0.35">
      <c r="A75" t="s">
        <v>204</v>
      </c>
      <c r="B75" t="str">
        <f>VLOOKUP(A75,GDP_LCU!A:B,2,FALSE)</f>
        <v>EUU</v>
      </c>
      <c r="C75" t="s">
        <v>585</v>
      </c>
    </row>
    <row r="76" spans="1:3" x14ac:dyDescent="0.35">
      <c r="A76" t="s">
        <v>205</v>
      </c>
      <c r="B76" t="str">
        <f>VLOOKUP(A76,GDP_LCU!A:B,2,FALSE)</f>
        <v>FCS</v>
      </c>
      <c r="C76" t="s">
        <v>585</v>
      </c>
    </row>
    <row r="77" spans="1:3" x14ac:dyDescent="0.35">
      <c r="A77" t="s">
        <v>55</v>
      </c>
      <c r="B77" t="str">
        <f>VLOOKUP(A77,GDP_LCU!A:B,2,FALSE)</f>
        <v>FIN</v>
      </c>
      <c r="C77">
        <v>126081000000</v>
      </c>
    </row>
    <row r="78" spans="1:3" x14ac:dyDescent="0.35">
      <c r="A78" t="s">
        <v>56</v>
      </c>
      <c r="B78" t="str">
        <f>VLOOKUP(A78,GDP_LCU!A:B,2,FALSE)</f>
        <v>FJI</v>
      </c>
      <c r="C78">
        <v>8284515699.99998</v>
      </c>
    </row>
    <row r="79" spans="1:3" x14ac:dyDescent="0.35">
      <c r="A79" t="s">
        <v>57</v>
      </c>
      <c r="B79" t="str">
        <f>VLOOKUP(A79,GDP_LCU!A:B,2,FALSE)</f>
        <v>FRA</v>
      </c>
      <c r="C79">
        <v>1306796000000</v>
      </c>
    </row>
    <row r="80" spans="1:3" x14ac:dyDescent="0.35">
      <c r="A80" t="s">
        <v>206</v>
      </c>
      <c r="B80" t="str">
        <f>VLOOKUP(A80,GDP_LCU!A:B,2,FALSE)</f>
        <v>FRO</v>
      </c>
      <c r="C80">
        <v>9119499999.9999695</v>
      </c>
    </row>
    <row r="81" spans="1:3" x14ac:dyDescent="0.35">
      <c r="A81" t="s">
        <v>207</v>
      </c>
      <c r="B81" t="str">
        <f>VLOOKUP(A81,GDP_LCU!A:B,2,FALSE)</f>
        <v>FSM</v>
      </c>
      <c r="C81" t="s">
        <v>585</v>
      </c>
    </row>
    <row r="82" spans="1:3" x14ac:dyDescent="0.35">
      <c r="A82" t="s">
        <v>58</v>
      </c>
      <c r="B82" t="str">
        <f>VLOOKUP(A82,GDP_LCU!A:B,2,FALSE)</f>
        <v>GAB</v>
      </c>
      <c r="C82">
        <v>3724762738900</v>
      </c>
    </row>
    <row r="83" spans="1:3" x14ac:dyDescent="0.35">
      <c r="A83" t="s">
        <v>59</v>
      </c>
      <c r="B83" t="str">
        <f>VLOOKUP(A83,GDP_LCU!A:B,2,FALSE)</f>
        <v>GBR</v>
      </c>
      <c r="C83">
        <v>1427940000000</v>
      </c>
    </row>
    <row r="84" spans="1:3" x14ac:dyDescent="0.35">
      <c r="A84" t="s">
        <v>60</v>
      </c>
      <c r="B84" t="str">
        <f>VLOOKUP(A84,GDP_LCU!A:B,2,FALSE)</f>
        <v>GEO</v>
      </c>
      <c r="C84">
        <v>34256004000</v>
      </c>
    </row>
    <row r="85" spans="1:3" x14ac:dyDescent="0.35">
      <c r="A85" t="s">
        <v>61</v>
      </c>
      <c r="B85" t="str">
        <f>VLOOKUP(A85,GDP_LCU!A:B,2,FALSE)</f>
        <v>GHA</v>
      </c>
      <c r="C85">
        <v>271811961500.00101</v>
      </c>
    </row>
    <row r="86" spans="1:3" x14ac:dyDescent="0.35">
      <c r="A86" t="s">
        <v>208</v>
      </c>
      <c r="B86" t="str">
        <f>VLOOKUP(A86,GDP_LCU!A:B,2,FALSE)</f>
        <v>GIB</v>
      </c>
      <c r="C86" t="s">
        <v>585</v>
      </c>
    </row>
    <row r="87" spans="1:3" x14ac:dyDescent="0.35">
      <c r="A87" t="s">
        <v>62</v>
      </c>
      <c r="B87" t="str">
        <f>VLOOKUP(A87,GDP_LCU!A:B,2,FALSE)</f>
        <v>GIN</v>
      </c>
      <c r="C87">
        <v>90371351548000.094</v>
      </c>
    </row>
    <row r="88" spans="1:3" x14ac:dyDescent="0.35">
      <c r="A88" t="s">
        <v>63</v>
      </c>
      <c r="B88" t="str">
        <f>VLOOKUP(A88,GDP_LCU!A:B,2,FALSE)</f>
        <v>GMB</v>
      </c>
      <c r="C88">
        <v>80804999999.999893</v>
      </c>
    </row>
    <row r="89" spans="1:3" x14ac:dyDescent="0.35">
      <c r="A89" t="s">
        <v>64</v>
      </c>
      <c r="B89" t="str">
        <f>VLOOKUP(A89,GDP_LCU!A:B,2,FALSE)</f>
        <v>GNB</v>
      </c>
      <c r="C89">
        <v>589022000000</v>
      </c>
    </row>
    <row r="90" spans="1:3" x14ac:dyDescent="0.35">
      <c r="A90" t="s">
        <v>65</v>
      </c>
      <c r="B90" t="str">
        <f>VLOOKUP(A90,GDP_LCU!A:B,2,FALSE)</f>
        <v>GNQ</v>
      </c>
      <c r="C90">
        <v>3746327000000.0098</v>
      </c>
    </row>
    <row r="91" spans="1:3" x14ac:dyDescent="0.35">
      <c r="A91" t="s">
        <v>66</v>
      </c>
      <c r="B91" t="str">
        <f>VLOOKUP(A91,GDP_LCU!A:B,2,FALSE)</f>
        <v>GRC</v>
      </c>
      <c r="C91">
        <v>126598988000</v>
      </c>
    </row>
    <row r="92" spans="1:3" x14ac:dyDescent="0.35">
      <c r="A92" t="s">
        <v>67</v>
      </c>
      <c r="B92" t="str">
        <f>VLOOKUP(A92,GDP_LCU!A:B,2,FALSE)</f>
        <v>GRD</v>
      </c>
      <c r="C92" t="s">
        <v>585</v>
      </c>
    </row>
    <row r="93" spans="1:3" x14ac:dyDescent="0.35">
      <c r="A93" t="s">
        <v>209</v>
      </c>
      <c r="B93" t="str">
        <f>VLOOKUP(A93,GDP_LCU!A:B,2,FALSE)</f>
        <v>GRL</v>
      </c>
      <c r="C93">
        <v>7005200000.0000095</v>
      </c>
    </row>
    <row r="94" spans="1:3" x14ac:dyDescent="0.35">
      <c r="A94" t="s">
        <v>68</v>
      </c>
      <c r="B94" t="str">
        <f>VLOOKUP(A94,GDP_LCU!A:B,2,FALSE)</f>
        <v>GTM</v>
      </c>
      <c r="C94">
        <v>504020593700</v>
      </c>
    </row>
    <row r="95" spans="1:3" x14ac:dyDescent="0.35">
      <c r="A95" t="s">
        <v>210</v>
      </c>
      <c r="B95" t="str">
        <f>VLOOKUP(A95,GDP_LCU!A:B,2,FALSE)</f>
        <v>GUM</v>
      </c>
      <c r="C95">
        <v>3636000000.00001</v>
      </c>
    </row>
    <row r="96" spans="1:3" x14ac:dyDescent="0.35">
      <c r="A96" t="s">
        <v>69</v>
      </c>
      <c r="B96" t="str">
        <f>VLOOKUP(A96,GDP_LCU!A:B,2,FALSE)</f>
        <v>GUY</v>
      </c>
      <c r="C96" t="s">
        <v>585</v>
      </c>
    </row>
    <row r="97" spans="1:3" x14ac:dyDescent="0.35">
      <c r="A97" t="s">
        <v>211</v>
      </c>
      <c r="B97" t="str">
        <f>VLOOKUP(A97,GDP_LCU!A:B,2,FALSE)</f>
        <v>HIC</v>
      </c>
      <c r="C97" t="s">
        <v>585</v>
      </c>
    </row>
    <row r="98" spans="1:3" x14ac:dyDescent="0.35">
      <c r="A98" t="s">
        <v>212</v>
      </c>
      <c r="B98" t="str">
        <f>VLOOKUP(A98,GDP_LCU!A:B,2,FALSE)</f>
        <v>HKG</v>
      </c>
      <c r="C98">
        <v>1973720000000</v>
      </c>
    </row>
    <row r="99" spans="1:3" x14ac:dyDescent="0.35">
      <c r="A99" t="s">
        <v>70</v>
      </c>
      <c r="B99" t="str">
        <f>VLOOKUP(A99,GDP_LCU!A:B,2,FALSE)</f>
        <v>HND</v>
      </c>
      <c r="C99">
        <v>501127200000</v>
      </c>
    </row>
    <row r="100" spans="1:3" x14ac:dyDescent="0.35">
      <c r="A100" t="s">
        <v>213</v>
      </c>
      <c r="B100" t="str">
        <f>VLOOKUP(A100,GDP_LCU!A:B,2,FALSE)</f>
        <v>HPC</v>
      </c>
      <c r="C100" t="s">
        <v>585</v>
      </c>
    </row>
    <row r="101" spans="1:3" x14ac:dyDescent="0.35">
      <c r="A101" t="s">
        <v>71</v>
      </c>
      <c r="B101" t="str">
        <f>VLOOKUP(A101,GDP_LCU!A:B,2,FALSE)</f>
        <v>HRV</v>
      </c>
      <c r="C101">
        <v>31157947900.000099</v>
      </c>
    </row>
    <row r="102" spans="1:3" x14ac:dyDescent="0.35">
      <c r="A102" t="s">
        <v>72</v>
      </c>
      <c r="B102" t="str">
        <f>VLOOKUP(A102,GDP_LCU!A:B,2,FALSE)</f>
        <v>HTI</v>
      </c>
      <c r="C102">
        <v>1220481688000</v>
      </c>
    </row>
    <row r="103" spans="1:3" x14ac:dyDescent="0.35">
      <c r="A103" t="s">
        <v>73</v>
      </c>
      <c r="B103" t="str">
        <f>VLOOKUP(A103,GDP_LCU!A:B,2,FALSE)</f>
        <v>HUN</v>
      </c>
      <c r="C103">
        <v>23461993000000</v>
      </c>
    </row>
    <row r="104" spans="1:3" x14ac:dyDescent="0.35">
      <c r="A104" t="s">
        <v>214</v>
      </c>
      <c r="B104" t="str">
        <f>VLOOKUP(A104,GDP_LCU!A:B,2,FALSE)</f>
        <v>IBD</v>
      </c>
      <c r="C104" t="s">
        <v>585</v>
      </c>
    </row>
    <row r="105" spans="1:3" x14ac:dyDescent="0.35">
      <c r="A105" t="s">
        <v>215</v>
      </c>
      <c r="B105" t="str">
        <f>VLOOKUP(A105,GDP_LCU!A:B,2,FALSE)</f>
        <v>IBT</v>
      </c>
      <c r="C105" t="s">
        <v>585</v>
      </c>
    </row>
    <row r="106" spans="1:3" x14ac:dyDescent="0.35">
      <c r="A106" t="s">
        <v>216</v>
      </c>
      <c r="B106" t="str">
        <f>VLOOKUP(A106,GDP_LCU!A:B,2,FALSE)</f>
        <v>IDA</v>
      </c>
      <c r="C106" t="s">
        <v>585</v>
      </c>
    </row>
    <row r="107" spans="1:3" x14ac:dyDescent="0.35">
      <c r="A107" t="s">
        <v>217</v>
      </c>
      <c r="B107" t="str">
        <f>VLOOKUP(A107,GDP_LCU!A:B,2,FALSE)</f>
        <v>IDB</v>
      </c>
      <c r="C107" t="s">
        <v>585</v>
      </c>
    </row>
    <row r="108" spans="1:3" x14ac:dyDescent="0.35">
      <c r="A108" t="s">
        <v>74</v>
      </c>
      <c r="B108" t="str">
        <f>VLOOKUP(A108,GDP_LCU!A:B,2,FALSE)</f>
        <v>IDN</v>
      </c>
      <c r="C108">
        <v>9171931870699990</v>
      </c>
    </row>
    <row r="109" spans="1:3" x14ac:dyDescent="0.35">
      <c r="A109" t="s">
        <v>218</v>
      </c>
      <c r="B109" t="str">
        <f>VLOOKUP(A109,GDP_LCU!A:B,2,FALSE)</f>
        <v>IDX</v>
      </c>
      <c r="C109" t="s">
        <v>585</v>
      </c>
    </row>
    <row r="110" spans="1:3" x14ac:dyDescent="0.35">
      <c r="A110" t="s">
        <v>219</v>
      </c>
      <c r="B110" t="str">
        <f>VLOOKUP(A110,GDP_LCU!A:B,2,FALSE)</f>
        <v>IMN</v>
      </c>
      <c r="C110" t="s">
        <v>585</v>
      </c>
    </row>
    <row r="111" spans="1:3" x14ac:dyDescent="0.35">
      <c r="A111" t="s">
        <v>75</v>
      </c>
      <c r="B111" t="str">
        <f>VLOOKUP(A111,GDP_LCU!A:B,2,FALSE)</f>
        <v>IND</v>
      </c>
      <c r="C111">
        <v>122453572704600</v>
      </c>
    </row>
    <row r="112" spans="1:3" x14ac:dyDescent="0.35">
      <c r="A112" t="s">
        <v>220</v>
      </c>
      <c r="B112" t="str">
        <f>VLOOKUP(A112,GDP_LCU!A:B,2,FALSE)</f>
        <v>INX</v>
      </c>
      <c r="C112" t="s">
        <v>585</v>
      </c>
    </row>
    <row r="113" spans="1:3" x14ac:dyDescent="0.35">
      <c r="A113" t="s">
        <v>76</v>
      </c>
      <c r="B113" t="str">
        <f>VLOOKUP(A113,GDP_LCU!A:B,2,FALSE)</f>
        <v>IRL</v>
      </c>
      <c r="C113">
        <v>104797707000</v>
      </c>
    </row>
    <row r="114" spans="1:3" x14ac:dyDescent="0.35">
      <c r="A114" t="s">
        <v>221</v>
      </c>
      <c r="B114" t="str">
        <f>VLOOKUP(A114,GDP_LCU!A:B,2,FALSE)</f>
        <v>IRN</v>
      </c>
      <c r="C114">
        <v>1.34293183995316E+16</v>
      </c>
    </row>
    <row r="115" spans="1:3" x14ac:dyDescent="0.35">
      <c r="A115" t="s">
        <v>77</v>
      </c>
      <c r="B115" t="str">
        <f>VLOOKUP(A115,GDP_LCU!A:B,2,FALSE)</f>
        <v>IRQ</v>
      </c>
      <c r="C115">
        <v>118657381200000</v>
      </c>
    </row>
    <row r="116" spans="1:3" x14ac:dyDescent="0.35">
      <c r="A116" t="s">
        <v>78</v>
      </c>
      <c r="B116" t="str">
        <f>VLOOKUP(A116,GDP_LCU!A:B,2,FALSE)</f>
        <v>ISL</v>
      </c>
      <c r="C116">
        <v>1518352644000</v>
      </c>
    </row>
    <row r="117" spans="1:3" x14ac:dyDescent="0.35">
      <c r="A117" t="s">
        <v>79</v>
      </c>
      <c r="B117" t="str">
        <f>VLOOKUP(A117,GDP_LCU!A:B,2,FALSE)</f>
        <v>ISR</v>
      </c>
      <c r="C117">
        <v>744378754999.99902</v>
      </c>
    </row>
    <row r="118" spans="1:3" x14ac:dyDescent="0.35">
      <c r="A118" t="s">
        <v>80</v>
      </c>
      <c r="B118" t="str">
        <f>VLOOKUP(A118,GDP_LCU!A:B,2,FALSE)</f>
        <v>ITA</v>
      </c>
      <c r="C118">
        <v>1074679600000</v>
      </c>
    </row>
    <row r="119" spans="1:3" x14ac:dyDescent="0.35">
      <c r="A119" t="s">
        <v>81</v>
      </c>
      <c r="B119" t="str">
        <f>VLOOKUP(A119,GDP_LCU!A:B,2,FALSE)</f>
        <v>JAM</v>
      </c>
      <c r="C119">
        <v>1607880000000</v>
      </c>
    </row>
    <row r="120" spans="1:3" x14ac:dyDescent="0.35">
      <c r="A120" t="s">
        <v>82</v>
      </c>
      <c r="B120" t="str">
        <f>VLOOKUP(A120,GDP_LCU!A:B,2,FALSE)</f>
        <v>JOR</v>
      </c>
      <c r="C120">
        <v>23601000000.000099</v>
      </c>
    </row>
    <row r="121" spans="1:3" x14ac:dyDescent="0.35">
      <c r="A121" t="s">
        <v>83</v>
      </c>
      <c r="B121" t="str">
        <f>VLOOKUP(A121,GDP_LCU!A:B,2,FALSE)</f>
        <v>JPN</v>
      </c>
      <c r="C121">
        <v>304365900000001</v>
      </c>
    </row>
    <row r="122" spans="1:3" x14ac:dyDescent="0.35">
      <c r="A122" t="s">
        <v>84</v>
      </c>
      <c r="B122" t="str">
        <f>VLOOKUP(A122,GDP_LCU!A:B,2,FALSE)</f>
        <v>KAZ</v>
      </c>
      <c r="C122">
        <v>36350861900000</v>
      </c>
    </row>
    <row r="123" spans="1:3" x14ac:dyDescent="0.35">
      <c r="A123" t="s">
        <v>85</v>
      </c>
      <c r="B123" t="str">
        <f>VLOOKUP(A123,GDP_LCU!A:B,2,FALSE)</f>
        <v>KEN</v>
      </c>
      <c r="C123">
        <v>7926320699999.9805</v>
      </c>
    </row>
    <row r="124" spans="1:3" x14ac:dyDescent="0.35">
      <c r="A124" t="s">
        <v>222</v>
      </c>
      <c r="B124" t="str">
        <f>VLOOKUP(A124,GDP_LCU!A:B,2,FALSE)</f>
        <v>KGZ</v>
      </c>
      <c r="C124">
        <v>505750600000</v>
      </c>
    </row>
    <row r="125" spans="1:3" x14ac:dyDescent="0.35">
      <c r="A125" t="s">
        <v>86</v>
      </c>
      <c r="B125" t="str">
        <f>VLOOKUP(A125,GDP_LCU!A:B,2,FALSE)</f>
        <v>KHM</v>
      </c>
      <c r="C125">
        <v>76424804475000</v>
      </c>
    </row>
    <row r="126" spans="1:3" x14ac:dyDescent="0.35">
      <c r="A126" t="s">
        <v>87</v>
      </c>
      <c r="B126" t="str">
        <f>VLOOKUP(A126,GDP_LCU!A:B,2,FALSE)</f>
        <v>KIR</v>
      </c>
      <c r="C126" t="s">
        <v>585</v>
      </c>
    </row>
    <row r="127" spans="1:3" x14ac:dyDescent="0.35">
      <c r="A127" t="s">
        <v>223</v>
      </c>
      <c r="B127" t="str">
        <f>VLOOKUP(A127,GDP_LCU!A:B,2,FALSE)</f>
        <v>KNA</v>
      </c>
      <c r="C127" t="s">
        <v>585</v>
      </c>
    </row>
    <row r="128" spans="1:3" x14ac:dyDescent="0.35">
      <c r="A128" t="s">
        <v>88</v>
      </c>
      <c r="B128" t="str">
        <f>VLOOKUP(A128,GDP_LCU!A:B,2,FALSE)</f>
        <v>KOR</v>
      </c>
      <c r="C128">
        <v>935933799999998</v>
      </c>
    </row>
    <row r="129" spans="1:3" x14ac:dyDescent="0.35">
      <c r="A129" t="s">
        <v>90</v>
      </c>
      <c r="B129" t="str">
        <f>VLOOKUP(A129,GDP_LCU!A:B,2,FALSE)</f>
        <v>KWT</v>
      </c>
      <c r="C129">
        <v>17100433400</v>
      </c>
    </row>
    <row r="130" spans="1:3" x14ac:dyDescent="0.35">
      <c r="A130" t="s">
        <v>225</v>
      </c>
      <c r="B130" t="str">
        <f>VLOOKUP(A130,GDP_LCU!A:B,2,FALSE)</f>
        <v>LAC</v>
      </c>
      <c r="C130" t="s">
        <v>585</v>
      </c>
    </row>
    <row r="131" spans="1:3" x14ac:dyDescent="0.35">
      <c r="A131" t="s">
        <v>226</v>
      </c>
      <c r="B131" t="str">
        <f>VLOOKUP(A131,GDP_LCU!A:B,2,FALSE)</f>
        <v>LAO</v>
      </c>
      <c r="C131" t="s">
        <v>585</v>
      </c>
    </row>
    <row r="132" spans="1:3" x14ac:dyDescent="0.35">
      <c r="A132" t="s">
        <v>91</v>
      </c>
      <c r="B132" t="str">
        <f>VLOOKUP(A132,GDP_LCU!A:B,2,FALSE)</f>
        <v>LBN</v>
      </c>
      <c r="C132">
        <v>75089715347999.906</v>
      </c>
    </row>
    <row r="133" spans="1:3" x14ac:dyDescent="0.35">
      <c r="A133" t="s">
        <v>92</v>
      </c>
      <c r="B133" t="str">
        <f>VLOOKUP(A133,GDP_LCU!A:B,2,FALSE)</f>
        <v>LBR</v>
      </c>
      <c r="C133" t="s">
        <v>585</v>
      </c>
    </row>
    <row r="134" spans="1:3" x14ac:dyDescent="0.35">
      <c r="A134" t="s">
        <v>93</v>
      </c>
      <c r="B134" t="str">
        <f>VLOOKUP(A134,GDP_LCU!A:B,2,FALSE)</f>
        <v>LBY</v>
      </c>
      <c r="C134">
        <v>48255400000.000099</v>
      </c>
    </row>
    <row r="135" spans="1:3" x14ac:dyDescent="0.35">
      <c r="A135" t="s">
        <v>227</v>
      </c>
      <c r="B135" t="str">
        <f>VLOOKUP(A135,GDP_LCU!A:B,2,FALSE)</f>
        <v>LCA</v>
      </c>
      <c r="C135" t="s">
        <v>585</v>
      </c>
    </row>
    <row r="136" spans="1:3" x14ac:dyDescent="0.35">
      <c r="A136" t="s">
        <v>228</v>
      </c>
      <c r="B136" t="str">
        <f>VLOOKUP(A136,GDP_LCU!A:B,2,FALSE)</f>
        <v>LCN</v>
      </c>
      <c r="C136" t="s">
        <v>585</v>
      </c>
    </row>
    <row r="137" spans="1:3" x14ac:dyDescent="0.35">
      <c r="A137" t="s">
        <v>229</v>
      </c>
      <c r="B137" t="str">
        <f>VLOOKUP(A137,GDP_LCU!A:B,2,FALSE)</f>
        <v>LDC</v>
      </c>
      <c r="C137" t="s">
        <v>585</v>
      </c>
    </row>
    <row r="138" spans="1:3" x14ac:dyDescent="0.35">
      <c r="A138" t="s">
        <v>230</v>
      </c>
      <c r="B138" t="str">
        <f>VLOOKUP(A138,GDP_LCU!A:B,2,FALSE)</f>
        <v>LIC</v>
      </c>
      <c r="C138" t="s">
        <v>585</v>
      </c>
    </row>
    <row r="139" spans="1:3" x14ac:dyDescent="0.35">
      <c r="A139" t="s">
        <v>94</v>
      </c>
      <c r="B139" t="str">
        <f>VLOOKUP(A139,GDP_LCU!A:B,2,FALSE)</f>
        <v>LIE</v>
      </c>
      <c r="C139" t="s">
        <v>585</v>
      </c>
    </row>
    <row r="140" spans="1:3" x14ac:dyDescent="0.35">
      <c r="A140" t="s">
        <v>95</v>
      </c>
      <c r="B140" t="str">
        <f>VLOOKUP(A140,GDP_LCU!A:B,2,FALSE)</f>
        <v>LKA</v>
      </c>
      <c r="C140">
        <v>9975735771800</v>
      </c>
    </row>
    <row r="141" spans="1:3" x14ac:dyDescent="0.35">
      <c r="A141" t="s">
        <v>231</v>
      </c>
      <c r="B141" t="str">
        <f>VLOOKUP(A141,GDP_LCU!A:B,2,FALSE)</f>
        <v>LMC</v>
      </c>
      <c r="C141" t="s">
        <v>585</v>
      </c>
    </row>
    <row r="142" spans="1:3" x14ac:dyDescent="0.35">
      <c r="A142" t="s">
        <v>232</v>
      </c>
      <c r="B142" t="str">
        <f>VLOOKUP(A142,GDP_LCU!A:B,2,FALSE)</f>
        <v>LMY</v>
      </c>
      <c r="C142" t="s">
        <v>585</v>
      </c>
    </row>
    <row r="143" spans="1:3" x14ac:dyDescent="0.35">
      <c r="A143" t="s">
        <v>96</v>
      </c>
      <c r="B143" t="str">
        <f>VLOOKUP(A143,GDP_LCU!A:B,2,FALSE)</f>
        <v>LSO</v>
      </c>
      <c r="C143">
        <v>28880782900</v>
      </c>
    </row>
    <row r="144" spans="1:3" x14ac:dyDescent="0.35">
      <c r="A144" t="s">
        <v>233</v>
      </c>
      <c r="B144" t="str">
        <f>VLOOKUP(A144,GDP_LCU!A:B,2,FALSE)</f>
        <v>LTE</v>
      </c>
      <c r="C144" t="s">
        <v>585</v>
      </c>
    </row>
    <row r="145" spans="1:3" x14ac:dyDescent="0.35">
      <c r="A145" t="s">
        <v>97</v>
      </c>
      <c r="B145" t="str">
        <f>VLOOKUP(A145,GDP_LCU!A:B,2,FALSE)</f>
        <v>LTU</v>
      </c>
      <c r="C145">
        <v>29381368000</v>
      </c>
    </row>
    <row r="146" spans="1:3" x14ac:dyDescent="0.35">
      <c r="A146" t="s">
        <v>98</v>
      </c>
      <c r="B146" t="str">
        <f>VLOOKUP(A146,GDP_LCU!A:B,2,FALSE)</f>
        <v>LUX</v>
      </c>
      <c r="C146">
        <v>20972709000</v>
      </c>
    </row>
    <row r="147" spans="1:3" x14ac:dyDescent="0.35">
      <c r="A147" t="s">
        <v>99</v>
      </c>
      <c r="B147" t="str">
        <f>VLOOKUP(A147,GDP_LCU!A:B,2,FALSE)</f>
        <v>LVA</v>
      </c>
      <c r="C147">
        <v>17952467000.000099</v>
      </c>
    </row>
    <row r="148" spans="1:3" x14ac:dyDescent="0.35">
      <c r="A148" t="s">
        <v>234</v>
      </c>
      <c r="B148" t="str">
        <f>VLOOKUP(A148,GDP_LCU!A:B,2,FALSE)</f>
        <v>MAC</v>
      </c>
      <c r="C148">
        <v>110890000000</v>
      </c>
    </row>
    <row r="149" spans="1:3" x14ac:dyDescent="0.35">
      <c r="A149" t="s">
        <v>235</v>
      </c>
      <c r="B149" t="str">
        <f>VLOOKUP(A149,GDP_LCU!A:B,2,FALSE)</f>
        <v>MAF</v>
      </c>
      <c r="C149" t="s">
        <v>585</v>
      </c>
    </row>
    <row r="150" spans="1:3" x14ac:dyDescent="0.35">
      <c r="A150" t="s">
        <v>100</v>
      </c>
      <c r="B150" t="str">
        <f>VLOOKUP(A150,GDP_LCU!A:B,2,FALSE)</f>
        <v>MAR</v>
      </c>
      <c r="C150">
        <v>731975999999.99695</v>
      </c>
    </row>
    <row r="151" spans="1:3" x14ac:dyDescent="0.35">
      <c r="A151" t="s">
        <v>236</v>
      </c>
      <c r="B151" t="str">
        <f>VLOOKUP(A151,GDP_LCU!A:B,2,FALSE)</f>
        <v>MCO</v>
      </c>
      <c r="C151" t="s">
        <v>585</v>
      </c>
    </row>
    <row r="152" spans="1:3" x14ac:dyDescent="0.35">
      <c r="A152" t="s">
        <v>237</v>
      </c>
      <c r="B152" t="str">
        <f>VLOOKUP(A152,GDP_LCU!A:B,2,FALSE)</f>
        <v>MDA</v>
      </c>
      <c r="C152">
        <v>175184529999.99899</v>
      </c>
    </row>
    <row r="153" spans="1:3" x14ac:dyDescent="0.35">
      <c r="A153" t="s">
        <v>101</v>
      </c>
      <c r="B153" t="str">
        <f>VLOOKUP(A153,GDP_LCU!A:B,2,FALSE)</f>
        <v>MDG</v>
      </c>
      <c r="C153">
        <v>36182293043000</v>
      </c>
    </row>
    <row r="154" spans="1:3" x14ac:dyDescent="0.35">
      <c r="A154" t="s">
        <v>102</v>
      </c>
      <c r="B154" t="str">
        <f>VLOOKUP(A154,GDP_LCU!A:B,2,FALSE)</f>
        <v>MDV</v>
      </c>
      <c r="C154" t="s">
        <v>585</v>
      </c>
    </row>
    <row r="155" spans="1:3" x14ac:dyDescent="0.35">
      <c r="A155" t="s">
        <v>238</v>
      </c>
      <c r="B155" t="str">
        <f>VLOOKUP(A155,GDP_LCU!A:B,2,FALSE)</f>
        <v>MEA</v>
      </c>
      <c r="C155" t="s">
        <v>585</v>
      </c>
    </row>
    <row r="156" spans="1:3" x14ac:dyDescent="0.35">
      <c r="A156" t="s">
        <v>103</v>
      </c>
      <c r="B156" t="str">
        <f>VLOOKUP(A156,GDP_LCU!A:B,2,FALSE)</f>
        <v>MEX</v>
      </c>
      <c r="C156">
        <v>16999858365000</v>
      </c>
    </row>
    <row r="157" spans="1:3" x14ac:dyDescent="0.35">
      <c r="A157" t="s">
        <v>104</v>
      </c>
      <c r="B157" t="str">
        <f>VLOOKUP(A157,GDP_LCU!A:B,2,FALSE)</f>
        <v>MHL</v>
      </c>
      <c r="C157">
        <v>175271839.61868399</v>
      </c>
    </row>
    <row r="158" spans="1:3" x14ac:dyDescent="0.35">
      <c r="A158" t="s">
        <v>239</v>
      </c>
      <c r="B158" t="str">
        <f>VLOOKUP(A158,GDP_LCU!A:B,2,FALSE)</f>
        <v>MIC</v>
      </c>
      <c r="C158" t="s">
        <v>585</v>
      </c>
    </row>
    <row r="159" spans="1:3" x14ac:dyDescent="0.35">
      <c r="A159" t="s">
        <v>105</v>
      </c>
      <c r="B159" t="str">
        <f>VLOOKUP(A159,GDP_LCU!A:B,2,FALSE)</f>
        <v>MKD</v>
      </c>
      <c r="C159">
        <v>453725000000.00098</v>
      </c>
    </row>
    <row r="160" spans="1:3" x14ac:dyDescent="0.35">
      <c r="A160" t="s">
        <v>106</v>
      </c>
      <c r="B160" t="str">
        <f>VLOOKUP(A160,GDP_LCU!A:B,2,FALSE)</f>
        <v>MLI</v>
      </c>
      <c r="C160">
        <v>7489569605100.0195</v>
      </c>
    </row>
    <row r="161" spans="1:3" x14ac:dyDescent="0.35">
      <c r="A161" t="s">
        <v>107</v>
      </c>
      <c r="B161" t="str">
        <f>VLOOKUP(A161,GDP_LCU!A:B,2,FALSE)</f>
        <v>MLT</v>
      </c>
      <c r="C161">
        <v>6382835618.9467096</v>
      </c>
    </row>
    <row r="162" spans="1:3" x14ac:dyDescent="0.35">
      <c r="A162" t="s">
        <v>108</v>
      </c>
      <c r="B162" t="str">
        <f>VLOOKUP(A162,GDP_LCU!A:B,2,FALSE)</f>
        <v>MMR</v>
      </c>
      <c r="C162" t="s">
        <v>585</v>
      </c>
    </row>
    <row r="163" spans="1:3" x14ac:dyDescent="0.35">
      <c r="A163" t="s">
        <v>240</v>
      </c>
      <c r="B163" t="str">
        <f>VLOOKUP(A163,GDP_LCU!A:B,2,FALSE)</f>
        <v>MNA</v>
      </c>
      <c r="C163" t="s">
        <v>585</v>
      </c>
    </row>
    <row r="164" spans="1:3" x14ac:dyDescent="0.35">
      <c r="A164" t="s">
        <v>109</v>
      </c>
      <c r="B164" t="str">
        <f>VLOOKUP(A164,GDP_LCU!A:B,2,FALSE)</f>
        <v>MNE</v>
      </c>
      <c r="C164">
        <v>3533603999.99999</v>
      </c>
    </row>
    <row r="165" spans="1:3" x14ac:dyDescent="0.35">
      <c r="A165" t="s">
        <v>110</v>
      </c>
      <c r="B165" t="str">
        <f>VLOOKUP(A165,GDP_LCU!A:B,2,FALSE)</f>
        <v>MNG</v>
      </c>
      <c r="C165">
        <v>21667587373000</v>
      </c>
    </row>
    <row r="166" spans="1:3" x14ac:dyDescent="0.35">
      <c r="A166" t="s">
        <v>241</v>
      </c>
      <c r="B166" t="str">
        <f>VLOOKUP(A166,GDP_LCU!A:B,2,FALSE)</f>
        <v>MNP</v>
      </c>
      <c r="C166">
        <v>686999999.99999797</v>
      </c>
    </row>
    <row r="167" spans="1:3" x14ac:dyDescent="0.35">
      <c r="A167" t="s">
        <v>111</v>
      </c>
      <c r="B167" t="str">
        <f>VLOOKUP(A167,GDP_LCU!A:B,2,FALSE)</f>
        <v>MOZ</v>
      </c>
      <c r="C167">
        <v>658693472700.00305</v>
      </c>
    </row>
    <row r="168" spans="1:3" x14ac:dyDescent="0.35">
      <c r="A168" t="s">
        <v>112</v>
      </c>
      <c r="B168" t="str">
        <f>VLOOKUP(A168,GDP_LCU!A:B,2,FALSE)</f>
        <v>MRT</v>
      </c>
      <c r="C168">
        <v>158950700000</v>
      </c>
    </row>
    <row r="169" spans="1:3" x14ac:dyDescent="0.35">
      <c r="A169" t="s">
        <v>113</v>
      </c>
      <c r="B169" t="str">
        <f>VLOOKUP(A169,GDP_LCU!A:B,2,FALSE)</f>
        <v>MUS</v>
      </c>
      <c r="C169">
        <v>375746000000</v>
      </c>
    </row>
    <row r="170" spans="1:3" x14ac:dyDescent="0.35">
      <c r="A170" t="s">
        <v>114</v>
      </c>
      <c r="B170" t="str">
        <f>VLOOKUP(A170,GDP_LCU!A:B,2,FALSE)</f>
        <v>MWI</v>
      </c>
      <c r="C170" t="s">
        <v>585</v>
      </c>
    </row>
    <row r="171" spans="1:3" x14ac:dyDescent="0.35">
      <c r="A171" t="s">
        <v>115</v>
      </c>
      <c r="B171" t="str">
        <f>VLOOKUP(A171,GDP_LCU!A:B,2,FALSE)</f>
        <v>MYS</v>
      </c>
      <c r="C171">
        <v>904188887000</v>
      </c>
    </row>
    <row r="172" spans="1:3" x14ac:dyDescent="0.35">
      <c r="A172" t="s">
        <v>242</v>
      </c>
      <c r="B172" t="str">
        <f>VLOOKUP(A172,GDP_LCU!A:B,2,FALSE)</f>
        <v>NAC</v>
      </c>
      <c r="C172" t="s">
        <v>585</v>
      </c>
    </row>
    <row r="173" spans="1:3" x14ac:dyDescent="0.35">
      <c r="A173" t="s">
        <v>116</v>
      </c>
      <c r="B173" t="str">
        <f>VLOOKUP(A173,GDP_LCU!A:B,2,FALSE)</f>
        <v>NAM</v>
      </c>
      <c r="C173">
        <v>125426273400</v>
      </c>
    </row>
    <row r="174" spans="1:3" x14ac:dyDescent="0.35">
      <c r="A174" t="s">
        <v>243</v>
      </c>
      <c r="B174" t="str">
        <f>VLOOKUP(A174,GDP_LCU!A:B,2,FALSE)</f>
        <v>NCL</v>
      </c>
      <c r="C174" t="s">
        <v>585</v>
      </c>
    </row>
    <row r="175" spans="1:3" x14ac:dyDescent="0.35">
      <c r="A175" t="s">
        <v>117</v>
      </c>
      <c r="B175" t="str">
        <f>VLOOKUP(A175,GDP_LCU!A:B,2,FALSE)</f>
        <v>NER</v>
      </c>
      <c r="C175">
        <v>5194600358100.0195</v>
      </c>
    </row>
    <row r="176" spans="1:3" x14ac:dyDescent="0.35">
      <c r="A176" t="s">
        <v>118</v>
      </c>
      <c r="B176" t="str">
        <f>VLOOKUP(A176,GDP_LCU!A:B,2,FALSE)</f>
        <v>NGA</v>
      </c>
      <c r="C176" t="s">
        <v>585</v>
      </c>
    </row>
    <row r="177" spans="1:3" x14ac:dyDescent="0.35">
      <c r="A177" t="s">
        <v>119</v>
      </c>
      <c r="B177" t="str">
        <f>VLOOKUP(A177,GDP_LCU!A:B,2,FALSE)</f>
        <v>NIC</v>
      </c>
      <c r="C177">
        <v>300273000000</v>
      </c>
    </row>
    <row r="178" spans="1:3" x14ac:dyDescent="0.35">
      <c r="A178" t="s">
        <v>120</v>
      </c>
      <c r="B178" t="str">
        <f>VLOOKUP(A178,GDP_LCU!A:B,2,FALSE)</f>
        <v>NLD</v>
      </c>
      <c r="C178">
        <v>353547000000</v>
      </c>
    </row>
    <row r="179" spans="1:3" x14ac:dyDescent="0.35">
      <c r="A179" t="s">
        <v>121</v>
      </c>
      <c r="B179" t="str">
        <f>VLOOKUP(A179,GDP_LCU!A:B,2,FALSE)</f>
        <v>NOR</v>
      </c>
      <c r="C179">
        <v>1579019000000.01</v>
      </c>
    </row>
    <row r="180" spans="1:3" x14ac:dyDescent="0.35">
      <c r="A180" t="s">
        <v>122</v>
      </c>
      <c r="B180" t="str">
        <f>VLOOKUP(A180,GDP_LCU!A:B,2,FALSE)</f>
        <v>NPL</v>
      </c>
      <c r="C180">
        <v>2955149511100</v>
      </c>
    </row>
    <row r="181" spans="1:3" x14ac:dyDescent="0.35">
      <c r="A181" t="s">
        <v>123</v>
      </c>
      <c r="B181" t="str">
        <f>VLOOKUP(A181,GDP_LCU!A:B,2,FALSE)</f>
        <v>NRU</v>
      </c>
      <c r="C181" t="s">
        <v>585</v>
      </c>
    </row>
    <row r="182" spans="1:3" x14ac:dyDescent="0.35">
      <c r="A182" t="s">
        <v>124</v>
      </c>
      <c r="B182" t="str">
        <f>VLOOKUP(A182,GDP_LCU!A:B,2,FALSE)</f>
        <v>NZL</v>
      </c>
      <c r="C182">
        <v>184853000000</v>
      </c>
    </row>
    <row r="183" spans="1:3" x14ac:dyDescent="0.35">
      <c r="A183" t="s">
        <v>244</v>
      </c>
      <c r="B183" t="str">
        <f>VLOOKUP(A183,GDP_LCU!A:B,2,FALSE)</f>
        <v>OED</v>
      </c>
      <c r="C183" t="s">
        <v>585</v>
      </c>
    </row>
    <row r="184" spans="1:3" x14ac:dyDescent="0.35">
      <c r="A184" t="s">
        <v>125</v>
      </c>
      <c r="B184" t="str">
        <f>VLOOKUP(A184,GDP_LCU!A:B,2,FALSE)</f>
        <v>OMN</v>
      </c>
      <c r="C184">
        <v>12703600000</v>
      </c>
    </row>
    <row r="185" spans="1:3" x14ac:dyDescent="0.35">
      <c r="A185" t="s">
        <v>245</v>
      </c>
      <c r="B185" t="str">
        <f>VLOOKUP(A185,GDP_LCU!A:B,2,FALSE)</f>
        <v>OSS</v>
      </c>
      <c r="C185" t="s">
        <v>585</v>
      </c>
    </row>
    <row r="186" spans="1:3" x14ac:dyDescent="0.35">
      <c r="A186" t="s">
        <v>126</v>
      </c>
      <c r="B186" t="str">
        <f>VLOOKUP(A186,GDP_LCU!A:B,2,FALSE)</f>
        <v>PAK</v>
      </c>
      <c r="C186">
        <v>36735669000000.102</v>
      </c>
    </row>
    <row r="187" spans="1:3" x14ac:dyDescent="0.35">
      <c r="A187" t="s">
        <v>127</v>
      </c>
      <c r="B187" t="str">
        <f>VLOOKUP(A187,GDP_LCU!A:B,2,FALSE)</f>
        <v>PAN</v>
      </c>
      <c r="C187">
        <v>35300529596.713097</v>
      </c>
    </row>
    <row r="188" spans="1:3" x14ac:dyDescent="0.35">
      <c r="A188" t="s">
        <v>128</v>
      </c>
      <c r="B188" t="str">
        <f>VLOOKUP(A188,GDP_LCU!A:B,2,FALSE)</f>
        <v>PER</v>
      </c>
      <c r="C188">
        <v>493669000000</v>
      </c>
    </row>
    <row r="189" spans="1:3" x14ac:dyDescent="0.35">
      <c r="A189" t="s">
        <v>129</v>
      </c>
      <c r="B189" t="str">
        <f>VLOOKUP(A189,GDP_LCU!A:B,2,FALSE)</f>
        <v>PHL</v>
      </c>
      <c r="C189">
        <v>14288332663000</v>
      </c>
    </row>
    <row r="190" spans="1:3" x14ac:dyDescent="0.35">
      <c r="A190" t="s">
        <v>130</v>
      </c>
      <c r="B190" t="str">
        <f>VLOOKUP(A190,GDP_LCU!A:B,2,FALSE)</f>
        <v>PLW</v>
      </c>
      <c r="C190">
        <v>208686515.80810401</v>
      </c>
    </row>
    <row r="191" spans="1:3" x14ac:dyDescent="0.35">
      <c r="A191" t="s">
        <v>131</v>
      </c>
      <c r="B191" t="str">
        <f>VLOOKUP(A191,GDP_LCU!A:B,2,FALSE)</f>
        <v>PNG</v>
      </c>
      <c r="C191" t="s">
        <v>585</v>
      </c>
    </row>
    <row r="192" spans="1:3" x14ac:dyDescent="0.35">
      <c r="A192" t="s">
        <v>132</v>
      </c>
      <c r="B192" t="str">
        <f>VLOOKUP(A192,GDP_LCU!A:B,2,FALSE)</f>
        <v>POL</v>
      </c>
      <c r="C192">
        <v>1322280000000</v>
      </c>
    </row>
    <row r="193" spans="1:3" x14ac:dyDescent="0.35">
      <c r="A193" t="s">
        <v>246</v>
      </c>
      <c r="B193" t="str">
        <f>VLOOKUP(A193,GDP_LCU!A:B,2,FALSE)</f>
        <v>PRE</v>
      </c>
      <c r="C193" t="s">
        <v>585</v>
      </c>
    </row>
    <row r="194" spans="1:3" x14ac:dyDescent="0.35">
      <c r="A194" t="s">
        <v>247</v>
      </c>
      <c r="B194" t="str">
        <f>VLOOKUP(A194,GDP_LCU!A:B,2,FALSE)</f>
        <v>PRI</v>
      </c>
      <c r="C194">
        <v>68758800000</v>
      </c>
    </row>
    <row r="195" spans="1:3" x14ac:dyDescent="0.35">
      <c r="A195" t="s">
        <v>248</v>
      </c>
      <c r="B195" t="str">
        <f>VLOOKUP(A195,GDP_LCU!A:B,2,FALSE)</f>
        <v>PRK</v>
      </c>
      <c r="C195" t="s">
        <v>585</v>
      </c>
    </row>
    <row r="196" spans="1:3" x14ac:dyDescent="0.35">
      <c r="A196" t="s">
        <v>133</v>
      </c>
      <c r="B196" t="str">
        <f>VLOOKUP(A196,GDP_LCU!A:B,2,FALSE)</f>
        <v>PRT</v>
      </c>
      <c r="C196">
        <v>137324165000</v>
      </c>
    </row>
    <row r="197" spans="1:3" x14ac:dyDescent="0.35">
      <c r="A197" t="s">
        <v>134</v>
      </c>
      <c r="B197" t="str">
        <f>VLOOKUP(A197,GDP_LCU!A:B,2,FALSE)</f>
        <v>PRY</v>
      </c>
      <c r="C197">
        <v>154827566980300</v>
      </c>
    </row>
    <row r="198" spans="1:3" x14ac:dyDescent="0.35">
      <c r="A198" t="s">
        <v>176</v>
      </c>
      <c r="B198" t="str">
        <f>VLOOKUP(A198,GDP_LCU!A:B,2,FALSE)</f>
        <v>PSE</v>
      </c>
      <c r="C198">
        <v>15427900000</v>
      </c>
    </row>
    <row r="199" spans="1:3" x14ac:dyDescent="0.35">
      <c r="A199" t="s">
        <v>249</v>
      </c>
      <c r="B199" t="str">
        <f>VLOOKUP(A199,GDP_LCU!A:B,2,FALSE)</f>
        <v>PSS</v>
      </c>
      <c r="C199" t="s">
        <v>585</v>
      </c>
    </row>
    <row r="200" spans="1:3" x14ac:dyDescent="0.35">
      <c r="A200" t="s">
        <v>250</v>
      </c>
      <c r="B200" t="str">
        <f>VLOOKUP(A200,GDP_LCU!A:B,2,FALSE)</f>
        <v>PST</v>
      </c>
      <c r="C200" t="s">
        <v>585</v>
      </c>
    </row>
    <row r="201" spans="1:3" x14ac:dyDescent="0.35">
      <c r="A201" t="s">
        <v>251</v>
      </c>
      <c r="B201" t="str">
        <f>VLOOKUP(A201,GDP_LCU!A:B,2,FALSE)</f>
        <v>PYF</v>
      </c>
      <c r="C201" t="s">
        <v>585</v>
      </c>
    </row>
    <row r="202" spans="1:3" x14ac:dyDescent="0.35">
      <c r="A202" t="s">
        <v>135</v>
      </c>
      <c r="B202" t="str">
        <f>VLOOKUP(A202,GDP_LCU!A:B,2,FALSE)</f>
        <v>QAT</v>
      </c>
      <c r="C202">
        <v>150673205800</v>
      </c>
    </row>
    <row r="203" spans="1:3" x14ac:dyDescent="0.35">
      <c r="A203" t="s">
        <v>136</v>
      </c>
      <c r="B203" t="str">
        <f>VLOOKUP(A203,GDP_LCU!A:B,2,FALSE)</f>
        <v>ROU</v>
      </c>
      <c r="C203">
        <v>662460100000.00098</v>
      </c>
    </row>
    <row r="204" spans="1:3" x14ac:dyDescent="0.35">
      <c r="A204" t="s">
        <v>137</v>
      </c>
      <c r="B204" t="str">
        <f>VLOOKUP(A204,GDP_LCU!A:B,2,FALSE)</f>
        <v>RUS</v>
      </c>
      <c r="C204">
        <v>56556800000000</v>
      </c>
    </row>
    <row r="205" spans="1:3" x14ac:dyDescent="0.35">
      <c r="A205" t="s">
        <v>138</v>
      </c>
      <c r="B205" t="str">
        <f>VLOOKUP(A205,GDP_LCU!A:B,2,FALSE)</f>
        <v>RWA</v>
      </c>
      <c r="C205">
        <v>6653061000000</v>
      </c>
    </row>
    <row r="206" spans="1:3" x14ac:dyDescent="0.35">
      <c r="A206" t="s">
        <v>252</v>
      </c>
      <c r="B206" t="str">
        <f>VLOOKUP(A206,GDP_LCU!A:B,2,FALSE)</f>
        <v>SAS</v>
      </c>
      <c r="C206" t="s">
        <v>585</v>
      </c>
    </row>
    <row r="207" spans="1:3" x14ac:dyDescent="0.35">
      <c r="A207" t="s">
        <v>139</v>
      </c>
      <c r="B207" t="str">
        <f>VLOOKUP(A207,GDP_LCU!A:B,2,FALSE)</f>
        <v>SAU</v>
      </c>
      <c r="C207">
        <v>1267915000000</v>
      </c>
    </row>
    <row r="208" spans="1:3" x14ac:dyDescent="0.35">
      <c r="A208" t="s">
        <v>140</v>
      </c>
      <c r="B208" t="str">
        <f>VLOOKUP(A208,GDP_LCU!A:B,2,FALSE)</f>
        <v>SDN</v>
      </c>
      <c r="C208">
        <v>1729988726900</v>
      </c>
    </row>
    <row r="209" spans="1:3" x14ac:dyDescent="0.35">
      <c r="A209" t="s">
        <v>141</v>
      </c>
      <c r="B209" t="str">
        <f>VLOOKUP(A209,GDP_LCU!A:B,2,FALSE)</f>
        <v>SEN</v>
      </c>
      <c r="C209">
        <v>9365290000000.0098</v>
      </c>
    </row>
    <row r="210" spans="1:3" x14ac:dyDescent="0.35">
      <c r="A210" t="s">
        <v>142</v>
      </c>
      <c r="B210" t="str">
        <f>VLOOKUP(A210,GDP_LCU!A:B,2,FALSE)</f>
        <v>SGP</v>
      </c>
      <c r="C210">
        <v>181793000000</v>
      </c>
    </row>
    <row r="211" spans="1:3" x14ac:dyDescent="0.35">
      <c r="A211" t="s">
        <v>143</v>
      </c>
      <c r="B211" t="str">
        <f>VLOOKUP(A211,GDP_LCU!A:B,2,FALSE)</f>
        <v>SLB</v>
      </c>
      <c r="C211">
        <v>7902999999.99998</v>
      </c>
    </row>
    <row r="212" spans="1:3" x14ac:dyDescent="0.35">
      <c r="A212" t="s">
        <v>144</v>
      </c>
      <c r="B212" t="str">
        <f>VLOOKUP(A212,GDP_LCU!A:B,2,FALSE)</f>
        <v>SLE</v>
      </c>
      <c r="C212">
        <v>36216045100</v>
      </c>
    </row>
    <row r="213" spans="1:3" x14ac:dyDescent="0.35">
      <c r="A213" t="s">
        <v>145</v>
      </c>
      <c r="B213" t="str">
        <f>VLOOKUP(A213,GDP_LCU!A:B,2,FALSE)</f>
        <v>SLV</v>
      </c>
      <c r="C213">
        <v>21976230000</v>
      </c>
    </row>
    <row r="214" spans="1:3" x14ac:dyDescent="0.35">
      <c r="A214" t="s">
        <v>146</v>
      </c>
      <c r="B214" t="str">
        <f>VLOOKUP(A214,GDP_LCU!A:B,2,FALSE)</f>
        <v>SMR</v>
      </c>
      <c r="C214">
        <v>515784299.62000197</v>
      </c>
    </row>
    <row r="215" spans="1:3" x14ac:dyDescent="0.35">
      <c r="A215" t="s">
        <v>147</v>
      </c>
      <c r="B215" t="str">
        <f>VLOOKUP(A215,GDP_LCU!A:B,2,FALSE)</f>
        <v>SOM</v>
      </c>
      <c r="C215">
        <v>295553558070100</v>
      </c>
    </row>
    <row r="216" spans="1:3" x14ac:dyDescent="0.35">
      <c r="A216" t="s">
        <v>148</v>
      </c>
      <c r="B216" t="str">
        <f>VLOOKUP(A216,GDP_LCU!A:B,2,FALSE)</f>
        <v>SRB</v>
      </c>
      <c r="C216">
        <v>3699060900000.0098</v>
      </c>
    </row>
    <row r="217" spans="1:3" x14ac:dyDescent="0.35">
      <c r="A217" t="s">
        <v>253</v>
      </c>
      <c r="B217" t="str">
        <f>VLOOKUP(A217,GDP_LCU!A:B,2,FALSE)</f>
        <v>SSA</v>
      </c>
      <c r="C217" t="s">
        <v>585</v>
      </c>
    </row>
    <row r="218" spans="1:3" x14ac:dyDescent="0.35">
      <c r="A218" t="s">
        <v>149</v>
      </c>
      <c r="B218" t="str">
        <f>VLOOKUP(A218,GDP_LCU!A:B,2,FALSE)</f>
        <v>SSD</v>
      </c>
      <c r="C218" t="s">
        <v>585</v>
      </c>
    </row>
    <row r="219" spans="1:3" x14ac:dyDescent="0.35">
      <c r="A219" t="s">
        <v>254</v>
      </c>
      <c r="B219" t="str">
        <f>VLOOKUP(A219,GDP_LCU!A:B,2,FALSE)</f>
        <v>SSF</v>
      </c>
      <c r="C219" t="s">
        <v>585</v>
      </c>
    </row>
    <row r="220" spans="1:3" x14ac:dyDescent="0.35">
      <c r="A220" t="s">
        <v>255</v>
      </c>
      <c r="B220" t="str">
        <f>VLOOKUP(A220,GDP_LCU!A:B,2,FALSE)</f>
        <v>SST</v>
      </c>
      <c r="C220" t="s">
        <v>585</v>
      </c>
    </row>
    <row r="221" spans="1:3" x14ac:dyDescent="0.35">
      <c r="A221" t="s">
        <v>150</v>
      </c>
      <c r="B221" t="str">
        <f>VLOOKUP(A221,GDP_LCU!A:B,2,FALSE)</f>
        <v>STP</v>
      </c>
      <c r="C221" t="s">
        <v>585</v>
      </c>
    </row>
    <row r="222" spans="1:3" x14ac:dyDescent="0.35">
      <c r="A222" t="s">
        <v>151</v>
      </c>
      <c r="B222" t="str">
        <f>VLOOKUP(A222,GDP_LCU!A:B,2,FALSE)</f>
        <v>SUR</v>
      </c>
      <c r="C222" t="s">
        <v>585</v>
      </c>
    </row>
    <row r="223" spans="1:3" x14ac:dyDescent="0.35">
      <c r="A223" t="s">
        <v>256</v>
      </c>
      <c r="B223" t="str">
        <f>VLOOKUP(A223,GDP_LCU!A:B,2,FALSE)</f>
        <v>SVK</v>
      </c>
      <c r="C223">
        <v>53225024000</v>
      </c>
    </row>
    <row r="224" spans="1:3" x14ac:dyDescent="0.35">
      <c r="A224" t="s">
        <v>152</v>
      </c>
      <c r="B224" t="str">
        <f>VLOOKUP(A224,GDP_LCU!A:B,2,FALSE)</f>
        <v>SVN</v>
      </c>
      <c r="C224">
        <v>25490670000</v>
      </c>
    </row>
    <row r="225" spans="1:3" x14ac:dyDescent="0.35">
      <c r="A225" t="s">
        <v>153</v>
      </c>
      <c r="B225" t="str">
        <f>VLOOKUP(A225,GDP_LCU!A:B,2,FALSE)</f>
        <v>SWE</v>
      </c>
      <c r="C225">
        <v>2269216999999.9902</v>
      </c>
    </row>
    <row r="226" spans="1:3" x14ac:dyDescent="0.35">
      <c r="A226" t="s">
        <v>154</v>
      </c>
      <c r="B226" t="str">
        <f>VLOOKUP(A226,GDP_LCU!A:B,2,FALSE)</f>
        <v>SWZ</v>
      </c>
      <c r="C226">
        <v>41429720400</v>
      </c>
    </row>
    <row r="227" spans="1:3" x14ac:dyDescent="0.35">
      <c r="A227" t="s">
        <v>257</v>
      </c>
      <c r="B227" t="str">
        <f>VLOOKUP(A227,GDP_LCU!A:B,2,FALSE)</f>
        <v>SXM</v>
      </c>
      <c r="C227" t="s">
        <v>585</v>
      </c>
    </row>
    <row r="228" spans="1:3" x14ac:dyDescent="0.35">
      <c r="A228" t="s">
        <v>155</v>
      </c>
      <c r="B228" t="str">
        <f>VLOOKUP(A228,GDP_LCU!A:B,2,FALSE)</f>
        <v>SYC</v>
      </c>
      <c r="C228">
        <v>16894832400</v>
      </c>
    </row>
    <row r="229" spans="1:3" x14ac:dyDescent="0.35">
      <c r="A229" t="s">
        <v>156</v>
      </c>
      <c r="B229" t="str">
        <f>VLOOKUP(A229,GDP_LCU!A:B,2,FALSE)</f>
        <v>SYR</v>
      </c>
      <c r="C229">
        <v>10833054000000</v>
      </c>
    </row>
    <row r="230" spans="1:3" x14ac:dyDescent="0.35">
      <c r="A230" t="s">
        <v>258</v>
      </c>
      <c r="B230" t="str">
        <f>VLOOKUP(A230,GDP_LCU!A:B,2,FALSE)</f>
        <v>TCA</v>
      </c>
      <c r="C230" t="s">
        <v>585</v>
      </c>
    </row>
    <row r="231" spans="1:3" x14ac:dyDescent="0.35">
      <c r="A231" t="s">
        <v>157</v>
      </c>
      <c r="B231" t="str">
        <f>VLOOKUP(A231,GDP_LCU!A:B,2,FALSE)</f>
        <v>TCD</v>
      </c>
      <c r="C231">
        <v>5044102700000.0195</v>
      </c>
    </row>
    <row r="232" spans="1:3" x14ac:dyDescent="0.35">
      <c r="A232" t="s">
        <v>259</v>
      </c>
      <c r="B232" t="str">
        <f>VLOOKUP(A232,GDP_LCU!A:B,2,FALSE)</f>
        <v>TEA</v>
      </c>
      <c r="C232" t="s">
        <v>585</v>
      </c>
    </row>
    <row r="233" spans="1:3" x14ac:dyDescent="0.35">
      <c r="A233" t="s">
        <v>260</v>
      </c>
      <c r="B233" t="str">
        <f>VLOOKUP(A233,GDP_LCU!A:B,2,FALSE)</f>
        <v>TEC</v>
      </c>
      <c r="C233" t="s">
        <v>585</v>
      </c>
    </row>
    <row r="234" spans="1:3" x14ac:dyDescent="0.35">
      <c r="A234" t="s">
        <v>158</v>
      </c>
      <c r="B234" t="str">
        <f>VLOOKUP(A234,GDP_LCU!A:B,2,FALSE)</f>
        <v>TGO</v>
      </c>
      <c r="C234">
        <v>3141240000000</v>
      </c>
    </row>
    <row r="235" spans="1:3" x14ac:dyDescent="0.35">
      <c r="A235" t="s">
        <v>159</v>
      </c>
      <c r="B235" t="str">
        <f>VLOOKUP(A235,GDP_LCU!A:B,2,FALSE)</f>
        <v>THA</v>
      </c>
      <c r="C235">
        <v>8406384999999.9805</v>
      </c>
    </row>
    <row r="236" spans="1:3" x14ac:dyDescent="0.35">
      <c r="A236" t="s">
        <v>160</v>
      </c>
      <c r="B236" t="str">
        <f>VLOOKUP(A236,GDP_LCU!A:B,2,FALSE)</f>
        <v>TJK</v>
      </c>
      <c r="C236">
        <v>60314700000</v>
      </c>
    </row>
    <row r="237" spans="1:3" x14ac:dyDescent="0.35">
      <c r="A237" t="s">
        <v>161</v>
      </c>
      <c r="B237" t="str">
        <f>VLOOKUP(A237,GDP_LCU!A:B,2,FALSE)</f>
        <v>TKM</v>
      </c>
      <c r="C237" t="s">
        <v>585</v>
      </c>
    </row>
    <row r="238" spans="1:3" x14ac:dyDescent="0.35">
      <c r="A238" t="s">
        <v>261</v>
      </c>
      <c r="B238" t="str">
        <f>VLOOKUP(A238,GDP_LCU!A:B,2,FALSE)</f>
        <v>TLA</v>
      </c>
      <c r="C238" t="s">
        <v>585</v>
      </c>
    </row>
    <row r="239" spans="1:3" x14ac:dyDescent="0.35">
      <c r="A239" t="s">
        <v>162</v>
      </c>
      <c r="B239" t="str">
        <f>VLOOKUP(A239,GDP_LCU!A:B,2,FALSE)</f>
        <v>TLS</v>
      </c>
      <c r="C239">
        <v>1095861200</v>
      </c>
    </row>
    <row r="240" spans="1:3" x14ac:dyDescent="0.35">
      <c r="A240" t="s">
        <v>262</v>
      </c>
      <c r="B240" t="str">
        <f>VLOOKUP(A240,GDP_LCU!A:B,2,FALSE)</f>
        <v>TMN</v>
      </c>
      <c r="C240" t="s">
        <v>585</v>
      </c>
    </row>
    <row r="241" spans="1:3" x14ac:dyDescent="0.35">
      <c r="A241" t="s">
        <v>163</v>
      </c>
      <c r="B241" t="str">
        <f>VLOOKUP(A241,GDP_LCU!A:B,2,FALSE)</f>
        <v>TON</v>
      </c>
      <c r="C241">
        <v>1079431000</v>
      </c>
    </row>
    <row r="242" spans="1:3" x14ac:dyDescent="0.35">
      <c r="A242" t="s">
        <v>263</v>
      </c>
      <c r="B242" t="str">
        <f>VLOOKUP(A242,GDP_LCU!A:B,2,FALSE)</f>
        <v>TSA</v>
      </c>
      <c r="C242" t="s">
        <v>585</v>
      </c>
    </row>
    <row r="243" spans="1:3" x14ac:dyDescent="0.35">
      <c r="A243" t="s">
        <v>264</v>
      </c>
      <c r="B243" t="str">
        <f>VLOOKUP(A243,GDP_LCU!A:B,2,FALSE)</f>
        <v>TSS</v>
      </c>
      <c r="C243" t="s">
        <v>585</v>
      </c>
    </row>
    <row r="244" spans="1:3" x14ac:dyDescent="0.35">
      <c r="A244" t="s">
        <v>164</v>
      </c>
      <c r="B244" t="str">
        <f>VLOOKUP(A244,GDP_LCU!A:B,2,FALSE)</f>
        <v>TTO</v>
      </c>
      <c r="C244" t="s">
        <v>585</v>
      </c>
    </row>
    <row r="245" spans="1:3" x14ac:dyDescent="0.35">
      <c r="A245" t="s">
        <v>165</v>
      </c>
      <c r="B245" t="str">
        <f>VLOOKUP(A245,GDP_LCU!A:B,2,FALSE)</f>
        <v>TUN</v>
      </c>
      <c r="C245">
        <v>88306699999.999695</v>
      </c>
    </row>
    <row r="246" spans="1:3" x14ac:dyDescent="0.35">
      <c r="A246" t="s">
        <v>166</v>
      </c>
      <c r="B246" t="str">
        <f>VLOOKUP(A246,GDP_LCU!A:B,2,FALSE)</f>
        <v>TUR</v>
      </c>
      <c r="C246">
        <v>2456654103499.9902</v>
      </c>
    </row>
    <row r="247" spans="1:3" x14ac:dyDescent="0.35">
      <c r="A247" t="s">
        <v>167</v>
      </c>
      <c r="B247" t="str">
        <f>VLOOKUP(A247,GDP_LCU!A:B,2,FALSE)</f>
        <v>TUV</v>
      </c>
      <c r="C247" t="s">
        <v>585</v>
      </c>
    </row>
    <row r="248" spans="1:3" x14ac:dyDescent="0.35">
      <c r="A248" t="s">
        <v>168</v>
      </c>
      <c r="B248" t="str">
        <f>VLOOKUP(A248,GDP_LCU!A:B,2,FALSE)</f>
        <v>TZA</v>
      </c>
      <c r="C248">
        <v>81912768213599.906</v>
      </c>
    </row>
    <row r="249" spans="1:3" x14ac:dyDescent="0.35">
      <c r="A249" t="s">
        <v>169</v>
      </c>
      <c r="B249" t="str">
        <f>VLOOKUP(A249,GDP_LCU!A:B,2,FALSE)</f>
        <v>UGA</v>
      </c>
      <c r="C249">
        <v>94014853268000.203</v>
      </c>
    </row>
    <row r="250" spans="1:3" x14ac:dyDescent="0.35">
      <c r="A250" t="s">
        <v>170</v>
      </c>
      <c r="B250" t="str">
        <f>VLOOKUP(A250,GDP_LCU!A:B,2,FALSE)</f>
        <v>UKR</v>
      </c>
      <c r="C250">
        <v>2958119000000.0098</v>
      </c>
    </row>
    <row r="251" spans="1:3" x14ac:dyDescent="0.35">
      <c r="A251" t="s">
        <v>265</v>
      </c>
      <c r="B251" t="str">
        <f>VLOOKUP(A251,GDP_LCU!A:B,2,FALSE)</f>
        <v>UMC</v>
      </c>
      <c r="C251" t="s">
        <v>585</v>
      </c>
    </row>
    <row r="252" spans="1:3" x14ac:dyDescent="0.35">
      <c r="A252" t="s">
        <v>171</v>
      </c>
      <c r="B252" t="str">
        <f>VLOOKUP(A252,GDP_LCU!A:B,2,FALSE)</f>
        <v>URY</v>
      </c>
      <c r="C252" t="s">
        <v>585</v>
      </c>
    </row>
    <row r="253" spans="1:3" x14ac:dyDescent="0.35">
      <c r="A253" t="s">
        <v>172</v>
      </c>
      <c r="B253" t="str">
        <f>VLOOKUP(A253,GDP_LCU!A:B,2,FALSE)</f>
        <v>USA</v>
      </c>
      <c r="C253">
        <v>14417614000000</v>
      </c>
    </row>
    <row r="254" spans="1:3" x14ac:dyDescent="0.35">
      <c r="A254" t="s">
        <v>173</v>
      </c>
      <c r="B254" t="str">
        <f>VLOOKUP(A254,GDP_LCU!A:B,2,FALSE)</f>
        <v>UZB</v>
      </c>
      <c r="C254">
        <v>317186589300000</v>
      </c>
    </row>
    <row r="255" spans="1:3" x14ac:dyDescent="0.35">
      <c r="A255" t="s">
        <v>266</v>
      </c>
      <c r="B255" t="str">
        <f>VLOOKUP(A255,GDP_LCU!A:B,2,FALSE)</f>
        <v>VCT</v>
      </c>
      <c r="C255" t="s">
        <v>585</v>
      </c>
    </row>
    <row r="256" spans="1:3" x14ac:dyDescent="0.35">
      <c r="A256" t="s">
        <v>267</v>
      </c>
      <c r="B256" t="str">
        <f>VLOOKUP(A256,GDP_LCU!A:B,2,FALSE)</f>
        <v>VEN</v>
      </c>
      <c r="C256" t="s">
        <v>585</v>
      </c>
    </row>
    <row r="257" spans="1:3" x14ac:dyDescent="0.35">
      <c r="A257" t="s">
        <v>268</v>
      </c>
      <c r="B257" t="str">
        <f>VLOOKUP(A257,GDP_LCU!A:B,2,FALSE)</f>
        <v>VGB</v>
      </c>
      <c r="C257" t="s">
        <v>585</v>
      </c>
    </row>
    <row r="258" spans="1:3" x14ac:dyDescent="0.35">
      <c r="A258" t="s">
        <v>269</v>
      </c>
      <c r="B258" t="str">
        <f>VLOOKUP(A258,GDP_LCU!A:B,2,FALSE)</f>
        <v>VIR</v>
      </c>
      <c r="C258">
        <v>2852000000</v>
      </c>
    </row>
    <row r="259" spans="1:3" x14ac:dyDescent="0.35">
      <c r="A259" t="s">
        <v>270</v>
      </c>
      <c r="B259" t="str">
        <f>VLOOKUP(A259,GDP_LCU!A:B,2,FALSE)</f>
        <v>VNM</v>
      </c>
      <c r="C259">
        <v>4379853180000000</v>
      </c>
    </row>
    <row r="260" spans="1:3" x14ac:dyDescent="0.35">
      <c r="A260" t="s">
        <v>175</v>
      </c>
      <c r="B260" t="str">
        <f>VLOOKUP(A260,GDP_LCU!A:B,2,FALSE)</f>
        <v>VUT</v>
      </c>
      <c r="C260">
        <v>59658000000.000099</v>
      </c>
    </row>
    <row r="261" spans="1:3" x14ac:dyDescent="0.35">
      <c r="A261" t="s">
        <v>271</v>
      </c>
      <c r="B261" t="str">
        <f>VLOOKUP(A261,GDP_LCU!A:B,2,FALSE)</f>
        <v>WLD</v>
      </c>
      <c r="C261" t="s">
        <v>585</v>
      </c>
    </row>
    <row r="262" spans="1:3" x14ac:dyDescent="0.35">
      <c r="A262" t="s">
        <v>177</v>
      </c>
      <c r="B262" t="str">
        <f>VLOOKUP(A262,GDP_LCU!A:B,2,FALSE)</f>
        <v>WSM</v>
      </c>
      <c r="C262">
        <v>1602414500.00001</v>
      </c>
    </row>
    <row r="263" spans="1:3" x14ac:dyDescent="0.35">
      <c r="A263" t="s">
        <v>89</v>
      </c>
      <c r="B263" t="str">
        <f>VLOOKUP(A263,GDP_LCU!A:B,2,FALSE)</f>
        <v>XKX</v>
      </c>
      <c r="C263">
        <v>5650903999.99998</v>
      </c>
    </row>
    <row r="264" spans="1:3" x14ac:dyDescent="0.35">
      <c r="A264" t="s">
        <v>272</v>
      </c>
      <c r="B264" t="str">
        <f>VLOOKUP(A264,GDP_LCU!A:B,2,FALSE)</f>
        <v>YEM</v>
      </c>
      <c r="C264" t="s">
        <v>585</v>
      </c>
    </row>
    <row r="265" spans="1:3" x14ac:dyDescent="0.35">
      <c r="A265" t="s">
        <v>178</v>
      </c>
      <c r="B265" t="str">
        <f>VLOOKUP(A265,GDP_LCU!A:B,2,FALSE)</f>
        <v>ZAF</v>
      </c>
      <c r="C265">
        <v>3605355993600</v>
      </c>
    </row>
    <row r="266" spans="1:3" x14ac:dyDescent="0.35">
      <c r="A266" t="s">
        <v>179</v>
      </c>
      <c r="B266" t="str">
        <f>VLOOKUP(A266,GDP_LCU!A:B,2,FALSE)</f>
        <v>ZMB</v>
      </c>
      <c r="C266">
        <v>126936500000</v>
      </c>
    </row>
    <row r="267" spans="1:3" x14ac:dyDescent="0.35">
      <c r="A267" t="s">
        <v>180</v>
      </c>
      <c r="B267" t="str">
        <f>VLOOKUP(A267,GDP_LCU!A:B,2,FALSE)</f>
        <v>ZWE</v>
      </c>
      <c r="C267">
        <v>168782894500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9DF7-58DA-47D3-89E7-F686F72C7ADE}">
  <dimension ref="A1:C267"/>
  <sheetViews>
    <sheetView workbookViewId="0">
      <selection activeCell="D2" sqref="D2"/>
    </sheetView>
  </sheetViews>
  <sheetFormatPr defaultRowHeight="14.5" x14ac:dyDescent="0.35"/>
  <cols>
    <col min="1" max="1" width="25.1796875" customWidth="1"/>
    <col min="2" max="2" width="13.453125" customWidth="1"/>
  </cols>
  <sheetData>
    <row r="1" spans="1:3" x14ac:dyDescent="0.35">
      <c r="A1" t="s">
        <v>182</v>
      </c>
      <c r="B1" t="s">
        <v>273</v>
      </c>
      <c r="C1" t="s">
        <v>584</v>
      </c>
    </row>
    <row r="2" spans="1:3" x14ac:dyDescent="0.35">
      <c r="A2" t="s">
        <v>1</v>
      </c>
      <c r="B2" t="str">
        <f>VLOOKUP(A2,GDP_LCU!A:B,2,FALSE)</f>
        <v>ABW</v>
      </c>
      <c r="C2">
        <v>1367570000</v>
      </c>
    </row>
    <row r="3" spans="1:3" x14ac:dyDescent="0.35">
      <c r="A3" t="s">
        <v>183</v>
      </c>
      <c r="B3" t="str">
        <f>VLOOKUP(A3,GDP_LCU!A:B,2,FALSE)</f>
        <v>AFE</v>
      </c>
      <c r="C3" t="s">
        <v>585</v>
      </c>
    </row>
    <row r="4" spans="1:3" x14ac:dyDescent="0.35">
      <c r="A4" t="s">
        <v>2</v>
      </c>
      <c r="B4" t="str">
        <f>VLOOKUP(A4,GDP_LCU!A:B,2,FALSE)</f>
        <v>AFG</v>
      </c>
      <c r="C4" t="s">
        <v>585</v>
      </c>
    </row>
    <row r="5" spans="1:3" x14ac:dyDescent="0.35">
      <c r="A5" t="s">
        <v>184</v>
      </c>
      <c r="B5" t="str">
        <f>VLOOKUP(A5,GDP_LCU!A:B,2,FALSE)</f>
        <v>AFW</v>
      </c>
      <c r="C5" t="s">
        <v>585</v>
      </c>
    </row>
    <row r="6" spans="1:3" x14ac:dyDescent="0.35">
      <c r="A6" t="s">
        <v>3</v>
      </c>
      <c r="B6" t="str">
        <f>VLOOKUP(A6,GDP_LCU!A:B,2,FALSE)</f>
        <v>AGO</v>
      </c>
      <c r="C6">
        <v>2608070000000</v>
      </c>
    </row>
    <row r="7" spans="1:3" x14ac:dyDescent="0.35">
      <c r="A7" t="s">
        <v>5</v>
      </c>
      <c r="B7" t="str">
        <f>VLOOKUP(A7,GDP_LCU!A:B,2,FALSE)</f>
        <v>ALB</v>
      </c>
      <c r="C7">
        <v>191980010300</v>
      </c>
    </row>
    <row r="8" spans="1:3" x14ac:dyDescent="0.35">
      <c r="A8" t="s">
        <v>185</v>
      </c>
      <c r="B8" t="str">
        <f>VLOOKUP(A8,GDP_LCU!A:B,2,FALSE)</f>
        <v>AND</v>
      </c>
      <c r="C8" t="s">
        <v>585</v>
      </c>
    </row>
    <row r="9" spans="1:3" x14ac:dyDescent="0.35">
      <c r="A9" t="s">
        <v>186</v>
      </c>
      <c r="B9" t="str">
        <f>VLOOKUP(A9,GDP_LCU!A:B,2,FALSE)</f>
        <v>ARB</v>
      </c>
      <c r="C9" t="s">
        <v>585</v>
      </c>
    </row>
    <row r="10" spans="1:3" x14ac:dyDescent="0.35">
      <c r="A10" t="s">
        <v>6</v>
      </c>
      <c r="B10" t="str">
        <f>VLOOKUP(A10,GDP_LCU!A:B,2,FALSE)</f>
        <v>ARE</v>
      </c>
      <c r="C10">
        <v>188124684400</v>
      </c>
    </row>
    <row r="11" spans="1:3" x14ac:dyDescent="0.35">
      <c r="A11" t="s">
        <v>7</v>
      </c>
      <c r="B11" t="str">
        <f>VLOOKUP(A11,GDP_LCU!A:B,2,FALSE)</f>
        <v>ARG</v>
      </c>
      <c r="C11">
        <v>3544907053700</v>
      </c>
    </row>
    <row r="12" spans="1:3" x14ac:dyDescent="0.35">
      <c r="A12" t="s">
        <v>8</v>
      </c>
      <c r="B12" t="str">
        <f>VLOOKUP(A12,GDP_LCU!A:B,2,FALSE)</f>
        <v>ARM</v>
      </c>
      <c r="C12">
        <v>822139600000</v>
      </c>
    </row>
    <row r="13" spans="1:3" x14ac:dyDescent="0.35">
      <c r="A13" t="s">
        <v>187</v>
      </c>
      <c r="B13" t="str">
        <f>VLOOKUP(A13,GDP_LCU!A:B,2,FALSE)</f>
        <v>ASM</v>
      </c>
      <c r="C13" t="s">
        <v>585</v>
      </c>
    </row>
    <row r="14" spans="1:3" x14ac:dyDescent="0.35">
      <c r="A14" t="s">
        <v>9</v>
      </c>
      <c r="B14" t="str">
        <f>VLOOKUP(A14,GDP_LCU!A:B,2,FALSE)</f>
        <v>ATG</v>
      </c>
      <c r="C14" t="s">
        <v>585</v>
      </c>
    </row>
    <row r="15" spans="1:3" x14ac:dyDescent="0.35">
      <c r="A15" t="s">
        <v>10</v>
      </c>
      <c r="B15" t="str">
        <f>VLOOKUP(A15,GDP_LCU!A:B,2,FALSE)</f>
        <v>AUS</v>
      </c>
      <c r="C15">
        <v>396695000000</v>
      </c>
    </row>
    <row r="16" spans="1:3" x14ac:dyDescent="0.35">
      <c r="A16" t="s">
        <v>11</v>
      </c>
      <c r="B16" t="str">
        <f>VLOOKUP(A16,GDP_LCU!A:B,2,FALSE)</f>
        <v>AUT</v>
      </c>
      <c r="C16">
        <v>77286760000</v>
      </c>
    </row>
    <row r="17" spans="1:3" x14ac:dyDescent="0.35">
      <c r="A17" t="s">
        <v>12</v>
      </c>
      <c r="B17" t="str">
        <f>VLOOKUP(A17,GDP_LCU!A:B,2,FALSE)</f>
        <v>AZE</v>
      </c>
      <c r="C17">
        <v>9109700000</v>
      </c>
    </row>
    <row r="18" spans="1:3" x14ac:dyDescent="0.35">
      <c r="A18" t="s">
        <v>13</v>
      </c>
      <c r="B18" t="str">
        <f>VLOOKUP(A18,GDP_LCU!A:B,2,FALSE)</f>
        <v>BDI</v>
      </c>
      <c r="C18">
        <v>1514696512300</v>
      </c>
    </row>
    <row r="19" spans="1:3" x14ac:dyDescent="0.35">
      <c r="A19" t="s">
        <v>14</v>
      </c>
      <c r="B19" t="str">
        <f>VLOOKUP(A19,GDP_LCU!A:B,2,FALSE)</f>
        <v>BEL</v>
      </c>
      <c r="C19">
        <v>110290600000</v>
      </c>
    </row>
    <row r="20" spans="1:3" x14ac:dyDescent="0.35">
      <c r="A20" t="s">
        <v>15</v>
      </c>
      <c r="B20" t="str">
        <f>VLOOKUP(A20,GDP_LCU!A:B,2,FALSE)</f>
        <v>BEN</v>
      </c>
      <c r="C20">
        <v>872068369700</v>
      </c>
    </row>
    <row r="21" spans="1:3" x14ac:dyDescent="0.35">
      <c r="A21" t="s">
        <v>16</v>
      </c>
      <c r="B21" t="str">
        <f>VLOOKUP(A21,GDP_LCU!A:B,2,FALSE)</f>
        <v>BFA</v>
      </c>
      <c r="C21">
        <v>1925724000000</v>
      </c>
    </row>
    <row r="22" spans="1:3" x14ac:dyDescent="0.35">
      <c r="A22" t="s">
        <v>17</v>
      </c>
      <c r="B22" t="str">
        <f>VLOOKUP(A22,GDP_LCU!A:B,2,FALSE)</f>
        <v>BGD</v>
      </c>
      <c r="C22">
        <v>1841157000000</v>
      </c>
    </row>
    <row r="23" spans="1:3" x14ac:dyDescent="0.35">
      <c r="A23" t="s">
        <v>18</v>
      </c>
      <c r="B23" t="str">
        <f>VLOOKUP(A23,GDP_LCU!A:B,2,FALSE)</f>
        <v>BGR</v>
      </c>
      <c r="C23">
        <v>20111308000</v>
      </c>
    </row>
    <row r="24" spans="1:3" x14ac:dyDescent="0.35">
      <c r="A24" t="s">
        <v>19</v>
      </c>
      <c r="B24" t="str">
        <f>VLOOKUP(A24,GDP_LCU!A:B,2,FALSE)</f>
        <v>BHR</v>
      </c>
      <c r="C24">
        <v>2280320000</v>
      </c>
    </row>
    <row r="25" spans="1:3" x14ac:dyDescent="0.35">
      <c r="A25" t="s">
        <v>20</v>
      </c>
      <c r="B25" t="str">
        <f>VLOOKUP(A25,GDP_LCU!A:B,2,FALSE)</f>
        <v>BHS</v>
      </c>
      <c r="C25">
        <v>1636800000</v>
      </c>
    </row>
    <row r="26" spans="1:3" x14ac:dyDescent="0.35">
      <c r="A26" t="s">
        <v>21</v>
      </c>
      <c r="B26" t="str">
        <f>VLOOKUP(A26,GDP_LCU!A:B,2,FALSE)</f>
        <v>BIH</v>
      </c>
      <c r="C26">
        <v>6927584000</v>
      </c>
    </row>
    <row r="27" spans="1:3" x14ac:dyDescent="0.35">
      <c r="A27" t="s">
        <v>22</v>
      </c>
      <c r="B27" t="str">
        <f>VLOOKUP(A27,GDP_LCU!A:B,2,FALSE)</f>
        <v>BLR</v>
      </c>
      <c r="C27">
        <v>22693000000</v>
      </c>
    </row>
    <row r="28" spans="1:3" x14ac:dyDescent="0.35">
      <c r="A28" t="s">
        <v>23</v>
      </c>
      <c r="B28" t="str">
        <f>VLOOKUP(A28,GDP_LCU!A:B,2,FALSE)</f>
        <v>BLZ</v>
      </c>
      <c r="C28">
        <v>896229567.44407201</v>
      </c>
    </row>
    <row r="29" spans="1:3" x14ac:dyDescent="0.35">
      <c r="A29" t="s">
        <v>188</v>
      </c>
      <c r="B29" t="str">
        <f>VLOOKUP(A29,GDP_LCU!A:B,2,FALSE)</f>
        <v>BMU</v>
      </c>
      <c r="C29">
        <v>909874000</v>
      </c>
    </row>
    <row r="30" spans="1:3" x14ac:dyDescent="0.35">
      <c r="A30" t="s">
        <v>24</v>
      </c>
      <c r="B30" t="str">
        <f>VLOOKUP(A30,GDP_LCU!A:B,2,FALSE)</f>
        <v>BOL</v>
      </c>
      <c r="C30">
        <v>51269961500</v>
      </c>
    </row>
    <row r="31" spans="1:3" x14ac:dyDescent="0.35">
      <c r="A31" t="s">
        <v>25</v>
      </c>
      <c r="B31" t="str">
        <f>VLOOKUP(A31,GDP_LCU!A:B,2,FALSE)</f>
        <v>BRA</v>
      </c>
      <c r="C31">
        <v>1476612999700</v>
      </c>
    </row>
    <row r="32" spans="1:3" x14ac:dyDescent="0.35">
      <c r="A32" t="s">
        <v>26</v>
      </c>
      <c r="B32" t="str">
        <f>VLOOKUP(A32,GDP_LCU!A:B,2,FALSE)</f>
        <v>BRB</v>
      </c>
      <c r="C32">
        <v>1161351200</v>
      </c>
    </row>
    <row r="33" spans="1:3" x14ac:dyDescent="0.35">
      <c r="A33" t="s">
        <v>27</v>
      </c>
      <c r="B33" t="str">
        <f>VLOOKUP(A33,GDP_LCU!A:B,2,FALSE)</f>
        <v>BRN</v>
      </c>
      <c r="C33">
        <v>4601169500</v>
      </c>
    </row>
    <row r="34" spans="1:3" x14ac:dyDescent="0.35">
      <c r="A34" t="s">
        <v>28</v>
      </c>
      <c r="B34" t="str">
        <f>VLOOKUP(A34,GDP_LCU!A:B,2,FALSE)</f>
        <v>BTN</v>
      </c>
      <c r="C34">
        <v>36829910000</v>
      </c>
    </row>
    <row r="35" spans="1:3" x14ac:dyDescent="0.35">
      <c r="A35" t="s">
        <v>29</v>
      </c>
      <c r="B35" t="str">
        <f>VLOOKUP(A35,GDP_LCU!A:B,2,FALSE)</f>
        <v>BWA</v>
      </c>
      <c r="C35">
        <v>56924369200</v>
      </c>
    </row>
    <row r="36" spans="1:3" x14ac:dyDescent="0.35">
      <c r="A36" t="s">
        <v>30</v>
      </c>
      <c r="B36" t="str">
        <f>VLOOKUP(A36,GDP_LCU!A:B,2,FALSE)</f>
        <v>CAF</v>
      </c>
      <c r="C36">
        <v>104699776900</v>
      </c>
    </row>
    <row r="37" spans="1:3" x14ac:dyDescent="0.35">
      <c r="A37" t="s">
        <v>31</v>
      </c>
      <c r="B37" t="str">
        <f>VLOOKUP(A37,GDP_LCU!A:B,2,FALSE)</f>
        <v>CAN</v>
      </c>
      <c r="C37">
        <v>478063000000</v>
      </c>
    </row>
    <row r="38" spans="1:3" x14ac:dyDescent="0.35">
      <c r="A38" t="s">
        <v>189</v>
      </c>
      <c r="B38" t="str">
        <f>VLOOKUP(A38,GDP_LCU!A:B,2,FALSE)</f>
        <v>CEB</v>
      </c>
      <c r="C38" t="s">
        <v>585</v>
      </c>
    </row>
    <row r="39" spans="1:3" x14ac:dyDescent="0.35">
      <c r="A39" t="s">
        <v>32</v>
      </c>
      <c r="B39" t="str">
        <f>VLOOKUP(A39,GDP_LCU!A:B,2,FALSE)</f>
        <v>CHE</v>
      </c>
      <c r="C39">
        <v>81400874000</v>
      </c>
    </row>
    <row r="40" spans="1:3" x14ac:dyDescent="0.35">
      <c r="A40" t="s">
        <v>190</v>
      </c>
      <c r="B40" t="str">
        <f>VLOOKUP(A40,GDP_LCU!A:B,2,FALSE)</f>
        <v>CHI</v>
      </c>
      <c r="C40" t="s">
        <v>585</v>
      </c>
    </row>
    <row r="41" spans="1:3" x14ac:dyDescent="0.35">
      <c r="A41" t="s">
        <v>33</v>
      </c>
      <c r="B41" t="str">
        <f>VLOOKUP(A41,GDP_LCU!A:B,2,FALSE)</f>
        <v>CHL</v>
      </c>
      <c r="C41">
        <v>29826322372000</v>
      </c>
    </row>
    <row r="42" spans="1:3" x14ac:dyDescent="0.35">
      <c r="A42" t="s">
        <v>34</v>
      </c>
      <c r="B42" t="str">
        <f>VLOOKUP(A42,GDP_LCU!A:B,2,FALSE)</f>
        <v>CHN</v>
      </c>
      <c r="C42">
        <v>16544363964400</v>
      </c>
    </row>
    <row r="43" spans="1:3" x14ac:dyDescent="0.35">
      <c r="A43" t="s">
        <v>35</v>
      </c>
      <c r="B43" t="str">
        <f>VLOOKUP(A43,GDP_LCU!A:B,2,FALSE)</f>
        <v>CIV</v>
      </c>
      <c r="C43">
        <v>3830712000000</v>
      </c>
    </row>
    <row r="44" spans="1:3" x14ac:dyDescent="0.35">
      <c r="A44" t="s">
        <v>36</v>
      </c>
      <c r="B44" t="str">
        <f>VLOOKUP(A44,GDP_LCU!A:B,2,FALSE)</f>
        <v>CMR</v>
      </c>
      <c r="C44">
        <v>2811635000000</v>
      </c>
    </row>
    <row r="45" spans="1:3" x14ac:dyDescent="0.35">
      <c r="A45" t="s">
        <v>192</v>
      </c>
      <c r="B45" t="str">
        <f>VLOOKUP(A45,GDP_LCU!A:B,2,FALSE)</f>
        <v>COD</v>
      </c>
      <c r="C45">
        <v>5911543000000</v>
      </c>
    </row>
    <row r="46" spans="1:3" x14ac:dyDescent="0.35">
      <c r="A46" t="s">
        <v>193</v>
      </c>
      <c r="B46" t="str">
        <f>VLOOKUP(A46,GDP_LCU!A:B,2,FALSE)</f>
        <v>COG</v>
      </c>
      <c r="C46">
        <v>1084304404300</v>
      </c>
    </row>
    <row r="47" spans="1:3" x14ac:dyDescent="0.35">
      <c r="A47" t="s">
        <v>37</v>
      </c>
      <c r="B47" t="str">
        <f>VLOOKUP(A47,GDP_LCU!A:B,2,FALSE)</f>
        <v>COL</v>
      </c>
      <c r="C47">
        <v>167207000000000</v>
      </c>
    </row>
    <row r="48" spans="1:3" x14ac:dyDescent="0.35">
      <c r="A48" t="s">
        <v>38</v>
      </c>
      <c r="B48" t="str">
        <f>VLOOKUP(A48,GDP_LCU!A:B,2,FALSE)</f>
        <v>COM</v>
      </c>
      <c r="C48">
        <v>53015000000</v>
      </c>
    </row>
    <row r="49" spans="1:3" x14ac:dyDescent="0.35">
      <c r="A49" t="s">
        <v>39</v>
      </c>
      <c r="B49" t="str">
        <f>VLOOKUP(A49,GDP_LCU!A:B,2,FALSE)</f>
        <v>CPV</v>
      </c>
      <c r="C49">
        <v>43954153000</v>
      </c>
    </row>
    <row r="50" spans="1:3" x14ac:dyDescent="0.35">
      <c r="A50" t="s">
        <v>40</v>
      </c>
      <c r="B50" t="str">
        <f>VLOOKUP(A50,GDP_LCU!A:B,2,FALSE)</f>
        <v>CRI</v>
      </c>
      <c r="C50">
        <v>6337339445100</v>
      </c>
    </row>
    <row r="51" spans="1:3" x14ac:dyDescent="0.35">
      <c r="A51" t="s">
        <v>194</v>
      </c>
      <c r="B51" t="str">
        <f>VLOOKUP(A51,GDP_LCU!A:B,2,FALSE)</f>
        <v>CSS</v>
      </c>
      <c r="C51" t="s">
        <v>585</v>
      </c>
    </row>
    <row r="52" spans="1:3" x14ac:dyDescent="0.35">
      <c r="A52" t="s">
        <v>41</v>
      </c>
      <c r="B52" t="str">
        <f>VLOOKUP(A52,GDP_LCU!A:B,2,FALSE)</f>
        <v>CUB</v>
      </c>
      <c r="C52">
        <v>33337000000</v>
      </c>
    </row>
    <row r="53" spans="1:3" x14ac:dyDescent="0.35">
      <c r="A53" t="s">
        <v>195</v>
      </c>
      <c r="B53" t="str">
        <f>VLOOKUP(A53,GDP_LCU!A:B,2,FALSE)</f>
        <v>CUW</v>
      </c>
      <c r="C53" t="s">
        <v>585</v>
      </c>
    </row>
    <row r="54" spans="1:3" x14ac:dyDescent="0.35">
      <c r="A54" t="s">
        <v>196</v>
      </c>
      <c r="B54" t="str">
        <f>VLOOKUP(A54,GDP_LCU!A:B,2,FALSE)</f>
        <v>CYM</v>
      </c>
      <c r="C54">
        <v>116600000</v>
      </c>
    </row>
    <row r="55" spans="1:3" x14ac:dyDescent="0.35">
      <c r="A55" t="s">
        <v>42</v>
      </c>
      <c r="B55" t="str">
        <f>VLOOKUP(A55,GDP_LCU!A:B,2,FALSE)</f>
        <v>CYP</v>
      </c>
      <c r="C55">
        <v>3724500000</v>
      </c>
    </row>
    <row r="56" spans="1:3" x14ac:dyDescent="0.35">
      <c r="A56" t="s">
        <v>43</v>
      </c>
      <c r="B56" t="str">
        <f>VLOOKUP(A56,GDP_LCU!A:B,2,FALSE)</f>
        <v>CZE</v>
      </c>
      <c r="C56">
        <v>1134469000000</v>
      </c>
    </row>
    <row r="57" spans="1:3" x14ac:dyDescent="0.35">
      <c r="A57" t="s">
        <v>44</v>
      </c>
      <c r="B57" t="str">
        <f>VLOOKUP(A57,GDP_LCU!A:B,2,FALSE)</f>
        <v>DEU</v>
      </c>
      <c r="C57">
        <v>703548000000</v>
      </c>
    </row>
    <row r="58" spans="1:3" x14ac:dyDescent="0.35">
      <c r="A58" t="s">
        <v>45</v>
      </c>
      <c r="B58" t="str">
        <f>VLOOKUP(A58,GDP_LCU!A:B,2,FALSE)</f>
        <v>DJI</v>
      </c>
      <c r="C58">
        <v>108753007300</v>
      </c>
    </row>
    <row r="59" spans="1:3" x14ac:dyDescent="0.35">
      <c r="A59" t="s">
        <v>46</v>
      </c>
      <c r="B59" t="str">
        <f>VLOOKUP(A59,GDP_LCU!A:B,2,FALSE)</f>
        <v>DMA</v>
      </c>
      <c r="C59" t="s">
        <v>585</v>
      </c>
    </row>
    <row r="60" spans="1:3" x14ac:dyDescent="0.35">
      <c r="A60" t="s">
        <v>47</v>
      </c>
      <c r="B60" t="str">
        <f>VLOOKUP(A60,GDP_LCU!A:B,2,FALSE)</f>
        <v>DNK</v>
      </c>
      <c r="C60">
        <v>557590117000</v>
      </c>
    </row>
    <row r="61" spans="1:3" x14ac:dyDescent="0.35">
      <c r="A61" t="s">
        <v>48</v>
      </c>
      <c r="B61" t="str">
        <f>VLOOKUP(A61,GDP_LCU!A:B,2,FALSE)</f>
        <v>DOM</v>
      </c>
      <c r="C61">
        <v>504984551500</v>
      </c>
    </row>
    <row r="62" spans="1:3" x14ac:dyDescent="0.35">
      <c r="A62" t="s">
        <v>49</v>
      </c>
      <c r="B62" t="str">
        <f>VLOOKUP(A62,GDP_LCU!A:B,2,FALSE)</f>
        <v>DZA</v>
      </c>
      <c r="C62">
        <v>4216489000000</v>
      </c>
    </row>
    <row r="63" spans="1:3" x14ac:dyDescent="0.35">
      <c r="A63" t="s">
        <v>197</v>
      </c>
      <c r="B63" t="str">
        <f>VLOOKUP(A63,GDP_LCU!A:B,2,FALSE)</f>
        <v>EAP</v>
      </c>
      <c r="C63" t="s">
        <v>585</v>
      </c>
    </row>
    <row r="64" spans="1:3" x14ac:dyDescent="0.35">
      <c r="A64" t="s">
        <v>198</v>
      </c>
      <c r="B64" t="str">
        <f>VLOOKUP(A64,GDP_LCU!A:B,2,FALSE)</f>
        <v>EAR</v>
      </c>
      <c r="C64" t="s">
        <v>585</v>
      </c>
    </row>
    <row r="65" spans="1:3" x14ac:dyDescent="0.35">
      <c r="A65" t="s">
        <v>199</v>
      </c>
      <c r="B65" t="str">
        <f>VLOOKUP(A65,GDP_LCU!A:B,2,FALSE)</f>
        <v>EAS</v>
      </c>
      <c r="C65" t="s">
        <v>585</v>
      </c>
    </row>
    <row r="66" spans="1:3" x14ac:dyDescent="0.35">
      <c r="A66" t="s">
        <v>200</v>
      </c>
      <c r="B66" t="str">
        <f>VLOOKUP(A66,GDP_LCU!A:B,2,FALSE)</f>
        <v>ECA</v>
      </c>
      <c r="C66" t="s">
        <v>585</v>
      </c>
    </row>
    <row r="67" spans="1:3" x14ac:dyDescent="0.35">
      <c r="A67" t="s">
        <v>201</v>
      </c>
      <c r="B67" t="str">
        <f>VLOOKUP(A67,GDP_LCU!A:B,2,FALSE)</f>
        <v>ECS</v>
      </c>
      <c r="C67" t="s">
        <v>585</v>
      </c>
    </row>
    <row r="68" spans="1:3" x14ac:dyDescent="0.35">
      <c r="A68" t="s">
        <v>50</v>
      </c>
      <c r="B68" t="str">
        <f>VLOOKUP(A68,GDP_LCU!A:B,2,FALSE)</f>
        <v>ECU</v>
      </c>
      <c r="C68">
        <v>16337434000</v>
      </c>
    </row>
    <row r="69" spans="1:3" x14ac:dyDescent="0.35">
      <c r="A69" t="s">
        <v>202</v>
      </c>
      <c r="B69" t="str">
        <f>VLOOKUP(A69,GDP_LCU!A:B,2,FALSE)</f>
        <v>EGY</v>
      </c>
      <c r="C69">
        <v>407700000000</v>
      </c>
    </row>
    <row r="70" spans="1:3" x14ac:dyDescent="0.35">
      <c r="A70" t="s">
        <v>203</v>
      </c>
      <c r="B70" t="str">
        <f>VLOOKUP(A70,GDP_LCU!A:B,2,FALSE)</f>
        <v>EMU</v>
      </c>
      <c r="C70" t="s">
        <v>585</v>
      </c>
    </row>
    <row r="71" spans="1:3" x14ac:dyDescent="0.35">
      <c r="A71" t="s">
        <v>51</v>
      </c>
      <c r="B71" t="str">
        <f>VLOOKUP(A71,GDP_LCU!A:B,2,FALSE)</f>
        <v>ERI</v>
      </c>
      <c r="C71" t="s">
        <v>585</v>
      </c>
    </row>
    <row r="72" spans="1:3" x14ac:dyDescent="0.35">
      <c r="A72" t="s">
        <v>52</v>
      </c>
      <c r="B72" t="str">
        <f>VLOOKUP(A72,GDP_LCU!A:B,2,FALSE)</f>
        <v>ESP</v>
      </c>
      <c r="C72">
        <v>234928000000</v>
      </c>
    </row>
    <row r="73" spans="1:3" x14ac:dyDescent="0.35">
      <c r="A73" t="s">
        <v>53</v>
      </c>
      <c r="B73" t="str">
        <f>VLOOKUP(A73,GDP_LCU!A:B,2,FALSE)</f>
        <v>EST</v>
      </c>
      <c r="C73">
        <v>5433020000</v>
      </c>
    </row>
    <row r="74" spans="1:3" x14ac:dyDescent="0.35">
      <c r="A74" t="s">
        <v>54</v>
      </c>
      <c r="B74" t="str">
        <f>VLOOKUP(A74,GDP_LCU!A:B,2,FALSE)</f>
        <v>ETH</v>
      </c>
      <c r="C74">
        <v>247362000000</v>
      </c>
    </row>
    <row r="75" spans="1:3" x14ac:dyDescent="0.35">
      <c r="A75" t="s">
        <v>204</v>
      </c>
      <c r="B75" t="str">
        <f>VLOOKUP(A75,GDP_LCU!A:B,2,FALSE)</f>
        <v>EUU</v>
      </c>
      <c r="C75" t="s">
        <v>585</v>
      </c>
    </row>
    <row r="76" spans="1:3" x14ac:dyDescent="0.35">
      <c r="A76" t="s">
        <v>205</v>
      </c>
      <c r="B76" t="str">
        <f>VLOOKUP(A76,GDP_LCU!A:B,2,FALSE)</f>
        <v>FCS</v>
      </c>
      <c r="C76" t="s">
        <v>585</v>
      </c>
    </row>
    <row r="77" spans="1:3" x14ac:dyDescent="0.35">
      <c r="A77" t="s">
        <v>55</v>
      </c>
      <c r="B77" t="str">
        <f>VLOOKUP(A77,GDP_LCU!A:B,2,FALSE)</f>
        <v>FIN</v>
      </c>
      <c r="C77">
        <v>55619000000</v>
      </c>
    </row>
    <row r="78" spans="1:3" x14ac:dyDescent="0.35">
      <c r="A78" t="s">
        <v>56</v>
      </c>
      <c r="B78" t="str">
        <f>VLOOKUP(A78,GDP_LCU!A:B,2,FALSE)</f>
        <v>FJI</v>
      </c>
      <c r="C78">
        <v>2498547800</v>
      </c>
    </row>
    <row r="79" spans="1:3" x14ac:dyDescent="0.35">
      <c r="A79" t="s">
        <v>57</v>
      </c>
      <c r="B79" t="str">
        <f>VLOOKUP(A79,GDP_LCU!A:B,2,FALSE)</f>
        <v>FRA</v>
      </c>
      <c r="C79">
        <v>560255000000</v>
      </c>
    </row>
    <row r="80" spans="1:3" x14ac:dyDescent="0.35">
      <c r="A80" t="s">
        <v>206</v>
      </c>
      <c r="B80" t="str">
        <f>VLOOKUP(A80,GDP_LCU!A:B,2,FALSE)</f>
        <v>FRO</v>
      </c>
      <c r="C80">
        <v>6014800000</v>
      </c>
    </row>
    <row r="81" spans="1:3" x14ac:dyDescent="0.35">
      <c r="A81" t="s">
        <v>207</v>
      </c>
      <c r="B81" t="str">
        <f>VLOOKUP(A81,GDP_LCU!A:B,2,FALSE)</f>
        <v>FSM</v>
      </c>
      <c r="C81" t="s">
        <v>585</v>
      </c>
    </row>
    <row r="82" spans="1:3" x14ac:dyDescent="0.35">
      <c r="A82" t="s">
        <v>58</v>
      </c>
      <c r="B82" t="str">
        <f>VLOOKUP(A82,GDP_LCU!A:B,2,FALSE)</f>
        <v>GAB</v>
      </c>
      <c r="C82">
        <v>1086909360700.0001</v>
      </c>
    </row>
    <row r="83" spans="1:3" x14ac:dyDescent="0.35">
      <c r="A83" t="s">
        <v>59</v>
      </c>
      <c r="B83" t="str">
        <f>VLOOKUP(A83,GDP_LCU!A:B,2,FALSE)</f>
        <v>GBR</v>
      </c>
      <c r="C83">
        <v>426592000000</v>
      </c>
    </row>
    <row r="84" spans="1:3" x14ac:dyDescent="0.35">
      <c r="A84" t="s">
        <v>60</v>
      </c>
      <c r="B84" t="str">
        <f>VLOOKUP(A84,GDP_LCU!A:B,2,FALSE)</f>
        <v>GEO</v>
      </c>
      <c r="C84">
        <v>6536126500</v>
      </c>
    </row>
    <row r="85" spans="1:3" x14ac:dyDescent="0.35">
      <c r="A85" t="s">
        <v>61</v>
      </c>
      <c r="B85" t="str">
        <f>VLOOKUP(A85,GDP_LCU!A:B,2,FALSE)</f>
        <v>GHA</v>
      </c>
      <c r="C85">
        <v>25112139300</v>
      </c>
    </row>
    <row r="86" spans="1:3" x14ac:dyDescent="0.35">
      <c r="A86" t="s">
        <v>208</v>
      </c>
      <c r="B86" t="str">
        <f>VLOOKUP(A86,GDP_LCU!A:B,2,FALSE)</f>
        <v>GIB</v>
      </c>
      <c r="C86" t="s">
        <v>585</v>
      </c>
    </row>
    <row r="87" spans="1:3" x14ac:dyDescent="0.35">
      <c r="A87" t="s">
        <v>62</v>
      </c>
      <c r="B87" t="str">
        <f>VLOOKUP(A87,GDP_LCU!A:B,2,FALSE)</f>
        <v>GIN</v>
      </c>
      <c r="C87">
        <v>19015336664000</v>
      </c>
    </row>
    <row r="88" spans="1:3" x14ac:dyDescent="0.35">
      <c r="A88" t="s">
        <v>63</v>
      </c>
      <c r="B88" t="str">
        <f>VLOOKUP(A88,GDP_LCU!A:B,2,FALSE)</f>
        <v>GMB</v>
      </c>
      <c r="C88">
        <v>7484024900</v>
      </c>
    </row>
    <row r="89" spans="1:3" x14ac:dyDescent="0.35">
      <c r="A89" t="s">
        <v>64</v>
      </c>
      <c r="B89" t="str">
        <f>VLOOKUP(A89,GDP_LCU!A:B,2,FALSE)</f>
        <v>GNB</v>
      </c>
      <c r="C89">
        <v>128946000000</v>
      </c>
    </row>
    <row r="90" spans="1:3" x14ac:dyDescent="0.35">
      <c r="A90" t="s">
        <v>65</v>
      </c>
      <c r="B90" t="str">
        <f>VLOOKUP(A90,GDP_LCU!A:B,2,FALSE)</f>
        <v>GNQ</v>
      </c>
      <c r="C90">
        <v>1695266000000</v>
      </c>
    </row>
    <row r="91" spans="1:3" x14ac:dyDescent="0.35">
      <c r="A91" t="s">
        <v>66</v>
      </c>
      <c r="B91" t="str">
        <f>VLOOKUP(A91,GDP_LCU!A:B,2,FALSE)</f>
        <v>GRC</v>
      </c>
      <c r="C91">
        <v>36997578000</v>
      </c>
    </row>
    <row r="92" spans="1:3" x14ac:dyDescent="0.35">
      <c r="A92" t="s">
        <v>67</v>
      </c>
      <c r="B92" t="str">
        <f>VLOOKUP(A92,GDP_LCU!A:B,2,FALSE)</f>
        <v>GRD</v>
      </c>
      <c r="C92" t="s">
        <v>585</v>
      </c>
    </row>
    <row r="93" spans="1:3" x14ac:dyDescent="0.35">
      <c r="A93" t="s">
        <v>209</v>
      </c>
      <c r="B93" t="str">
        <f>VLOOKUP(A93,GDP_LCU!A:B,2,FALSE)</f>
        <v>GRL</v>
      </c>
      <c r="C93">
        <v>8754500000</v>
      </c>
    </row>
    <row r="94" spans="1:3" x14ac:dyDescent="0.35">
      <c r="A94" t="s">
        <v>68</v>
      </c>
      <c r="B94" t="str">
        <f>VLOOKUP(A94,GDP_LCU!A:B,2,FALSE)</f>
        <v>GTM</v>
      </c>
      <c r="C94">
        <v>65972500900</v>
      </c>
    </row>
    <row r="95" spans="1:3" x14ac:dyDescent="0.35">
      <c r="A95" t="s">
        <v>210</v>
      </c>
      <c r="B95" t="str">
        <f>VLOOKUP(A95,GDP_LCU!A:B,2,FALSE)</f>
        <v>GUM</v>
      </c>
      <c r="C95" t="s">
        <v>585</v>
      </c>
    </row>
    <row r="96" spans="1:3" x14ac:dyDescent="0.35">
      <c r="A96" t="s">
        <v>69</v>
      </c>
      <c r="B96" t="str">
        <f>VLOOKUP(A96,GDP_LCU!A:B,2,FALSE)</f>
        <v>GUY</v>
      </c>
      <c r="C96" t="s">
        <v>585</v>
      </c>
    </row>
    <row r="97" spans="1:3" x14ac:dyDescent="0.35">
      <c r="A97" t="s">
        <v>211</v>
      </c>
      <c r="B97" t="str">
        <f>VLOOKUP(A97,GDP_LCU!A:B,2,FALSE)</f>
        <v>HIC</v>
      </c>
      <c r="C97" t="s">
        <v>585</v>
      </c>
    </row>
    <row r="98" spans="1:3" x14ac:dyDescent="0.35">
      <c r="A98" t="s">
        <v>212</v>
      </c>
      <c r="B98" t="str">
        <f>VLOOKUP(A98,GDP_LCU!A:B,2,FALSE)</f>
        <v>HKG</v>
      </c>
      <c r="C98">
        <v>309437000000</v>
      </c>
    </row>
    <row r="99" spans="1:3" x14ac:dyDescent="0.35">
      <c r="A99" t="s">
        <v>70</v>
      </c>
      <c r="B99" t="str">
        <f>VLOOKUP(A99,GDP_LCU!A:B,2,FALSE)</f>
        <v>HND</v>
      </c>
      <c r="C99">
        <v>84638100000</v>
      </c>
    </row>
    <row r="100" spans="1:3" x14ac:dyDescent="0.35">
      <c r="A100" t="s">
        <v>213</v>
      </c>
      <c r="B100" t="str">
        <f>VLOOKUP(A100,GDP_LCU!A:B,2,FALSE)</f>
        <v>HPC</v>
      </c>
      <c r="C100" t="s">
        <v>585</v>
      </c>
    </row>
    <row r="101" spans="1:3" x14ac:dyDescent="0.35">
      <c r="A101" t="s">
        <v>71</v>
      </c>
      <c r="B101" t="str">
        <f>VLOOKUP(A101,GDP_LCU!A:B,2,FALSE)</f>
        <v>HRV</v>
      </c>
      <c r="C101">
        <v>11931331200</v>
      </c>
    </row>
    <row r="102" spans="1:3" x14ac:dyDescent="0.35">
      <c r="A102" t="s">
        <v>72</v>
      </c>
      <c r="B102" t="str">
        <f>VLOOKUP(A102,GDP_LCU!A:B,2,FALSE)</f>
        <v>HTI</v>
      </c>
      <c r="C102">
        <v>90854546500</v>
      </c>
    </row>
    <row r="103" spans="1:3" x14ac:dyDescent="0.35">
      <c r="A103" t="s">
        <v>73</v>
      </c>
      <c r="B103" t="str">
        <f>VLOOKUP(A103,GDP_LCU!A:B,2,FALSE)</f>
        <v>HUN</v>
      </c>
      <c r="C103">
        <v>9575706000000</v>
      </c>
    </row>
    <row r="104" spans="1:3" x14ac:dyDescent="0.35">
      <c r="A104" t="s">
        <v>214</v>
      </c>
      <c r="B104" t="str">
        <f>VLOOKUP(A104,GDP_LCU!A:B,2,FALSE)</f>
        <v>IBD</v>
      </c>
      <c r="C104" t="s">
        <v>585</v>
      </c>
    </row>
    <row r="105" spans="1:3" x14ac:dyDescent="0.35">
      <c r="A105" t="s">
        <v>215</v>
      </c>
      <c r="B105" t="str">
        <f>VLOOKUP(A105,GDP_LCU!A:B,2,FALSE)</f>
        <v>IBT</v>
      </c>
      <c r="C105" t="s">
        <v>585</v>
      </c>
    </row>
    <row r="106" spans="1:3" x14ac:dyDescent="0.35">
      <c r="A106" t="s">
        <v>216</v>
      </c>
      <c r="B106" t="str">
        <f>VLOOKUP(A106,GDP_LCU!A:B,2,FALSE)</f>
        <v>IDA</v>
      </c>
      <c r="C106" t="s">
        <v>585</v>
      </c>
    </row>
    <row r="107" spans="1:3" x14ac:dyDescent="0.35">
      <c r="A107" t="s">
        <v>217</v>
      </c>
      <c r="B107" t="str">
        <f>VLOOKUP(A107,GDP_LCU!A:B,2,FALSE)</f>
        <v>IDB</v>
      </c>
      <c r="C107" t="s">
        <v>585</v>
      </c>
    </row>
    <row r="108" spans="1:3" x14ac:dyDescent="0.35">
      <c r="A108" t="s">
        <v>74</v>
      </c>
      <c r="B108" t="str">
        <f>VLOOKUP(A108,GDP_LCU!A:B,2,FALSE)</f>
        <v>IDN</v>
      </c>
      <c r="C108">
        <v>1394615064000000</v>
      </c>
    </row>
    <row r="109" spans="1:3" x14ac:dyDescent="0.35">
      <c r="A109" t="s">
        <v>218</v>
      </c>
      <c r="B109" t="str">
        <f>VLOOKUP(A109,GDP_LCU!A:B,2,FALSE)</f>
        <v>IDX</v>
      </c>
      <c r="C109" t="s">
        <v>585</v>
      </c>
    </row>
    <row r="110" spans="1:3" x14ac:dyDescent="0.35">
      <c r="A110" t="s">
        <v>219</v>
      </c>
      <c r="B110" t="str">
        <f>VLOOKUP(A110,GDP_LCU!A:B,2,FALSE)</f>
        <v>IMN</v>
      </c>
      <c r="C110" t="s">
        <v>585</v>
      </c>
    </row>
    <row r="111" spans="1:3" x14ac:dyDescent="0.35">
      <c r="A111" t="s">
        <v>75</v>
      </c>
      <c r="B111" t="str">
        <f>VLOOKUP(A111,GDP_LCU!A:B,2,FALSE)</f>
        <v>IND</v>
      </c>
      <c r="C111">
        <v>22119330885400</v>
      </c>
    </row>
    <row r="112" spans="1:3" x14ac:dyDescent="0.35">
      <c r="A112" t="s">
        <v>220</v>
      </c>
      <c r="B112" t="str">
        <f>VLOOKUP(A112,GDP_LCU!A:B,2,FALSE)</f>
        <v>INX</v>
      </c>
      <c r="C112" t="s">
        <v>585</v>
      </c>
    </row>
    <row r="113" spans="1:3" x14ac:dyDescent="0.35">
      <c r="A113" t="s">
        <v>76</v>
      </c>
      <c r="B113" t="str">
        <f>VLOOKUP(A113,GDP_LCU!A:B,2,FALSE)</f>
        <v>IRL</v>
      </c>
      <c r="C113">
        <v>42966387000</v>
      </c>
    </row>
    <row r="114" spans="1:3" x14ac:dyDescent="0.35">
      <c r="A114" t="s">
        <v>221</v>
      </c>
      <c r="B114" t="str">
        <f>VLOOKUP(A114,GDP_LCU!A:B,2,FALSE)</f>
        <v>IRN</v>
      </c>
      <c r="C114">
        <v>4186769472784300</v>
      </c>
    </row>
    <row r="115" spans="1:3" x14ac:dyDescent="0.35">
      <c r="A115" t="s">
        <v>77</v>
      </c>
      <c r="B115" t="str">
        <f>VLOOKUP(A115,GDP_LCU!A:B,2,FALSE)</f>
        <v>IRQ</v>
      </c>
      <c r="C115">
        <v>53340959300000</v>
      </c>
    </row>
    <row r="116" spans="1:3" x14ac:dyDescent="0.35">
      <c r="A116" t="s">
        <v>78</v>
      </c>
      <c r="B116" t="str">
        <f>VLOOKUP(A116,GDP_LCU!A:B,2,FALSE)</f>
        <v>ISL</v>
      </c>
      <c r="C116">
        <v>744038573000</v>
      </c>
    </row>
    <row r="117" spans="1:3" x14ac:dyDescent="0.35">
      <c r="A117" t="s">
        <v>79</v>
      </c>
      <c r="B117" t="str">
        <f>VLOOKUP(A117,GDP_LCU!A:B,2,FALSE)</f>
        <v>ISR</v>
      </c>
      <c r="C117">
        <v>316137209000</v>
      </c>
    </row>
    <row r="118" spans="1:3" x14ac:dyDescent="0.35">
      <c r="A118" t="s">
        <v>80</v>
      </c>
      <c r="B118" t="str">
        <f>VLOOKUP(A118,GDP_LCU!A:B,2,FALSE)</f>
        <v>ITA</v>
      </c>
      <c r="C118">
        <v>334512000000</v>
      </c>
    </row>
    <row r="119" spans="1:3" x14ac:dyDescent="0.35">
      <c r="A119" t="s">
        <v>81</v>
      </c>
      <c r="B119" t="str">
        <f>VLOOKUP(A119,GDP_LCU!A:B,2,FALSE)</f>
        <v>JAM</v>
      </c>
      <c r="C119">
        <v>286642000000</v>
      </c>
    </row>
    <row r="120" spans="1:3" x14ac:dyDescent="0.35">
      <c r="A120" t="s">
        <v>82</v>
      </c>
      <c r="B120" t="str">
        <f>VLOOKUP(A120,GDP_LCU!A:B,2,FALSE)</f>
        <v>JOR</v>
      </c>
      <c r="C120">
        <v>5173000000</v>
      </c>
    </row>
    <row r="121" spans="1:3" x14ac:dyDescent="0.35">
      <c r="A121" t="s">
        <v>83</v>
      </c>
      <c r="B121" t="str">
        <f>VLOOKUP(A121,GDP_LCU!A:B,2,FALSE)</f>
        <v>JPN</v>
      </c>
      <c r="C121">
        <v>111275900000000</v>
      </c>
    </row>
    <row r="122" spans="1:3" x14ac:dyDescent="0.35">
      <c r="A122" t="s">
        <v>84</v>
      </c>
      <c r="B122" t="str">
        <f>VLOOKUP(A122,GDP_LCU!A:B,2,FALSE)</f>
        <v>KAZ</v>
      </c>
      <c r="C122">
        <v>6349831800000</v>
      </c>
    </row>
    <row r="123" spans="1:3" x14ac:dyDescent="0.35">
      <c r="A123" t="s">
        <v>85</v>
      </c>
      <c r="B123" t="str">
        <f>VLOOKUP(A123,GDP_LCU!A:B,2,FALSE)</f>
        <v>KEN</v>
      </c>
      <c r="C123">
        <v>1246013100000</v>
      </c>
    </row>
    <row r="124" spans="1:3" x14ac:dyDescent="0.35">
      <c r="A124" t="s">
        <v>222</v>
      </c>
      <c r="B124" t="str">
        <f>VLOOKUP(A124,GDP_LCU!A:B,2,FALSE)</f>
        <v>KGZ</v>
      </c>
      <c r="C124">
        <v>102686800000</v>
      </c>
    </row>
    <row r="125" spans="1:3" x14ac:dyDescent="0.35">
      <c r="A125" t="s">
        <v>86</v>
      </c>
      <c r="B125" t="str">
        <f>VLOOKUP(A125,GDP_LCU!A:B,2,FALSE)</f>
        <v>KHM</v>
      </c>
      <c r="C125">
        <v>5288153330200</v>
      </c>
    </row>
    <row r="126" spans="1:3" x14ac:dyDescent="0.35">
      <c r="A126" t="s">
        <v>87</v>
      </c>
      <c r="B126" t="str">
        <f>VLOOKUP(A126,GDP_LCU!A:B,2,FALSE)</f>
        <v>KIR</v>
      </c>
      <c r="C126" t="s">
        <v>585</v>
      </c>
    </row>
    <row r="127" spans="1:3" x14ac:dyDescent="0.35">
      <c r="A127" t="s">
        <v>223</v>
      </c>
      <c r="B127" t="str">
        <f>VLOOKUP(A127,GDP_LCU!A:B,2,FALSE)</f>
        <v>KNA</v>
      </c>
      <c r="C127" t="s">
        <v>585</v>
      </c>
    </row>
    <row r="128" spans="1:3" x14ac:dyDescent="0.35">
      <c r="A128" t="s">
        <v>88</v>
      </c>
      <c r="B128" t="str">
        <f>VLOOKUP(A128,GDP_LCU!A:B,2,FALSE)</f>
        <v>KOR</v>
      </c>
      <c r="C128">
        <v>328663200000000</v>
      </c>
    </row>
    <row r="129" spans="1:3" x14ac:dyDescent="0.35">
      <c r="A129" t="s">
        <v>90</v>
      </c>
      <c r="B129" t="str">
        <f>VLOOKUP(A129,GDP_LCU!A:B,2,FALSE)</f>
        <v>KWT</v>
      </c>
      <c r="C129">
        <v>10429030900</v>
      </c>
    </row>
    <row r="130" spans="1:3" x14ac:dyDescent="0.35">
      <c r="A130" t="s">
        <v>225</v>
      </c>
      <c r="B130" t="str">
        <f>VLOOKUP(A130,GDP_LCU!A:B,2,FALSE)</f>
        <v>LAC</v>
      </c>
      <c r="C130" t="s">
        <v>585</v>
      </c>
    </row>
    <row r="131" spans="1:3" x14ac:dyDescent="0.35">
      <c r="A131" t="s">
        <v>226</v>
      </c>
      <c r="B131" t="str">
        <f>VLOOKUP(A131,GDP_LCU!A:B,2,FALSE)</f>
        <v>LAO</v>
      </c>
      <c r="C131" t="s">
        <v>585</v>
      </c>
    </row>
    <row r="132" spans="1:3" x14ac:dyDescent="0.35">
      <c r="A132" t="s">
        <v>91</v>
      </c>
      <c r="B132" t="str">
        <f>VLOOKUP(A132,GDP_LCU!A:B,2,FALSE)</f>
        <v>LBN</v>
      </c>
      <c r="C132">
        <v>12534408093000</v>
      </c>
    </row>
    <row r="133" spans="1:3" x14ac:dyDescent="0.35">
      <c r="A133" t="s">
        <v>92</v>
      </c>
      <c r="B133" t="str">
        <f>VLOOKUP(A133,GDP_LCU!A:B,2,FALSE)</f>
        <v>LBR</v>
      </c>
      <c r="C133" t="s">
        <v>585</v>
      </c>
    </row>
    <row r="134" spans="1:3" x14ac:dyDescent="0.35">
      <c r="A134" t="s">
        <v>93</v>
      </c>
      <c r="B134" t="str">
        <f>VLOOKUP(A134,GDP_LCU!A:B,2,FALSE)</f>
        <v>LBY</v>
      </c>
      <c r="C134">
        <v>42136985900</v>
      </c>
    </row>
    <row r="135" spans="1:3" x14ac:dyDescent="0.35">
      <c r="A135" t="s">
        <v>227</v>
      </c>
      <c r="B135" t="str">
        <f>VLOOKUP(A135,GDP_LCU!A:B,2,FALSE)</f>
        <v>LCA</v>
      </c>
      <c r="C135" t="s">
        <v>585</v>
      </c>
    </row>
    <row r="136" spans="1:3" x14ac:dyDescent="0.35">
      <c r="A136" t="s">
        <v>228</v>
      </c>
      <c r="B136" t="str">
        <f>VLOOKUP(A136,GDP_LCU!A:B,2,FALSE)</f>
        <v>LCN</v>
      </c>
      <c r="C136" t="s">
        <v>585</v>
      </c>
    </row>
    <row r="137" spans="1:3" x14ac:dyDescent="0.35">
      <c r="A137" t="s">
        <v>229</v>
      </c>
      <c r="B137" t="str">
        <f>VLOOKUP(A137,GDP_LCU!A:B,2,FALSE)</f>
        <v>LDC</v>
      </c>
      <c r="C137" t="s">
        <v>585</v>
      </c>
    </row>
    <row r="138" spans="1:3" x14ac:dyDescent="0.35">
      <c r="A138" t="s">
        <v>230</v>
      </c>
      <c r="B138" t="str">
        <f>VLOOKUP(A138,GDP_LCU!A:B,2,FALSE)</f>
        <v>LIC</v>
      </c>
      <c r="C138" t="s">
        <v>585</v>
      </c>
    </row>
    <row r="139" spans="1:3" x14ac:dyDescent="0.35">
      <c r="A139" t="s">
        <v>94</v>
      </c>
      <c r="B139" t="str">
        <f>VLOOKUP(A139,GDP_LCU!A:B,2,FALSE)</f>
        <v>LIE</v>
      </c>
      <c r="C139" t="s">
        <v>585</v>
      </c>
    </row>
    <row r="140" spans="1:3" x14ac:dyDescent="0.35">
      <c r="A140" t="s">
        <v>95</v>
      </c>
      <c r="B140" t="str">
        <f>VLOOKUP(A140,GDP_LCU!A:B,2,FALSE)</f>
        <v>LKA</v>
      </c>
      <c r="C140">
        <v>1427620015300</v>
      </c>
    </row>
    <row r="141" spans="1:3" x14ac:dyDescent="0.35">
      <c r="A141" t="s">
        <v>231</v>
      </c>
      <c r="B141" t="str">
        <f>VLOOKUP(A141,GDP_LCU!A:B,2,FALSE)</f>
        <v>LMC</v>
      </c>
      <c r="C141" t="s">
        <v>585</v>
      </c>
    </row>
    <row r="142" spans="1:3" x14ac:dyDescent="0.35">
      <c r="A142" t="s">
        <v>232</v>
      </c>
      <c r="B142" t="str">
        <f>VLOOKUP(A142,GDP_LCU!A:B,2,FALSE)</f>
        <v>LMY</v>
      </c>
      <c r="C142" t="s">
        <v>585</v>
      </c>
    </row>
    <row r="143" spans="1:3" x14ac:dyDescent="0.35">
      <c r="A143" t="s">
        <v>96</v>
      </c>
      <c r="B143" t="str">
        <f>VLOOKUP(A143,GDP_LCU!A:B,2,FALSE)</f>
        <v>LSO</v>
      </c>
      <c r="C143">
        <v>13019725600</v>
      </c>
    </row>
    <row r="144" spans="1:3" x14ac:dyDescent="0.35">
      <c r="A144" t="s">
        <v>233</v>
      </c>
      <c r="B144" t="str">
        <f>VLOOKUP(A144,GDP_LCU!A:B,2,FALSE)</f>
        <v>LTE</v>
      </c>
      <c r="C144" t="s">
        <v>585</v>
      </c>
    </row>
    <row r="145" spans="1:3" x14ac:dyDescent="0.35">
      <c r="A145" t="s">
        <v>97</v>
      </c>
      <c r="B145" t="str">
        <f>VLOOKUP(A145,GDP_LCU!A:B,2,FALSE)</f>
        <v>LTU</v>
      </c>
      <c r="C145">
        <v>8270196000</v>
      </c>
    </row>
    <row r="146" spans="1:3" x14ac:dyDescent="0.35">
      <c r="A146" t="s">
        <v>98</v>
      </c>
      <c r="B146" t="str">
        <f>VLOOKUP(A146,GDP_LCU!A:B,2,FALSE)</f>
        <v>LUX</v>
      </c>
      <c r="C146">
        <v>10762564000</v>
      </c>
    </row>
    <row r="147" spans="1:3" x14ac:dyDescent="0.35">
      <c r="A147" t="s">
        <v>99</v>
      </c>
      <c r="B147" t="str">
        <f>VLOOKUP(A147,GDP_LCU!A:B,2,FALSE)</f>
        <v>LVA</v>
      </c>
      <c r="C147">
        <v>5856898000</v>
      </c>
    </row>
    <row r="148" spans="1:3" x14ac:dyDescent="0.35">
      <c r="A148" t="s">
        <v>234</v>
      </c>
      <c r="B148" t="str">
        <f>VLOOKUP(A148,GDP_LCU!A:B,2,FALSE)</f>
        <v>MAC</v>
      </c>
      <c r="C148">
        <v>45367000000</v>
      </c>
    </row>
    <row r="149" spans="1:3" x14ac:dyDescent="0.35">
      <c r="A149" t="s">
        <v>235</v>
      </c>
      <c r="B149" t="str">
        <f>VLOOKUP(A149,GDP_LCU!A:B,2,FALSE)</f>
        <v>MAF</v>
      </c>
      <c r="C149" t="s">
        <v>585</v>
      </c>
    </row>
    <row r="150" spans="1:3" x14ac:dyDescent="0.35">
      <c r="A150" t="s">
        <v>100</v>
      </c>
      <c r="B150" t="str">
        <f>VLOOKUP(A150,GDP_LCU!A:B,2,FALSE)</f>
        <v>MAR</v>
      </c>
      <c r="C150">
        <v>225389000000</v>
      </c>
    </row>
    <row r="151" spans="1:3" x14ac:dyDescent="0.35">
      <c r="A151" t="s">
        <v>236</v>
      </c>
      <c r="B151" t="str">
        <f>VLOOKUP(A151,GDP_LCU!A:B,2,FALSE)</f>
        <v>MCO</v>
      </c>
      <c r="C151" t="s">
        <v>585</v>
      </c>
    </row>
    <row r="152" spans="1:3" x14ac:dyDescent="0.35">
      <c r="A152" t="s">
        <v>237</v>
      </c>
      <c r="B152" t="str">
        <f>VLOOKUP(A152,GDP_LCU!A:B,2,FALSE)</f>
        <v>MDA</v>
      </c>
      <c r="C152">
        <v>31373679300</v>
      </c>
    </row>
    <row r="153" spans="1:3" x14ac:dyDescent="0.35">
      <c r="A153" t="s">
        <v>101</v>
      </c>
      <c r="B153" t="str">
        <f>VLOOKUP(A153,GDP_LCU!A:B,2,FALSE)</f>
        <v>MDG</v>
      </c>
      <c r="C153">
        <v>7709440605200</v>
      </c>
    </row>
    <row r="154" spans="1:3" x14ac:dyDescent="0.35">
      <c r="A154" t="s">
        <v>102</v>
      </c>
      <c r="B154" t="str">
        <f>VLOOKUP(A154,GDP_LCU!A:B,2,FALSE)</f>
        <v>MDV</v>
      </c>
      <c r="C154" t="s">
        <v>585</v>
      </c>
    </row>
    <row r="155" spans="1:3" x14ac:dyDescent="0.35">
      <c r="A155" t="s">
        <v>238</v>
      </c>
      <c r="B155" t="str">
        <f>VLOOKUP(A155,GDP_LCU!A:B,2,FALSE)</f>
        <v>MEA</v>
      </c>
      <c r="C155" t="s">
        <v>585</v>
      </c>
    </row>
    <row r="156" spans="1:3" x14ac:dyDescent="0.35">
      <c r="A156" t="s">
        <v>103</v>
      </c>
      <c r="B156" t="str">
        <f>VLOOKUP(A156,GDP_LCU!A:B,2,FALSE)</f>
        <v>MEX</v>
      </c>
      <c r="C156">
        <v>2790507790000</v>
      </c>
    </row>
    <row r="157" spans="1:3" x14ac:dyDescent="0.35">
      <c r="A157" t="s">
        <v>104</v>
      </c>
      <c r="B157" t="str">
        <f>VLOOKUP(A157,GDP_LCU!A:B,2,FALSE)</f>
        <v>MHL</v>
      </c>
      <c r="C157">
        <v>153795806.88476598</v>
      </c>
    </row>
    <row r="158" spans="1:3" x14ac:dyDescent="0.35">
      <c r="A158" t="s">
        <v>239</v>
      </c>
      <c r="B158" t="str">
        <f>VLOOKUP(A158,GDP_LCU!A:B,2,FALSE)</f>
        <v>MIC</v>
      </c>
      <c r="C158" t="s">
        <v>585</v>
      </c>
    </row>
    <row r="159" spans="1:3" x14ac:dyDescent="0.35">
      <c r="A159" t="s">
        <v>105</v>
      </c>
      <c r="B159" t="str">
        <f>VLOOKUP(A159,GDP_LCU!A:B,2,FALSE)</f>
        <v>MKD</v>
      </c>
      <c r="C159">
        <v>96958000000</v>
      </c>
    </row>
    <row r="160" spans="1:3" x14ac:dyDescent="0.35">
      <c r="A160" t="s">
        <v>106</v>
      </c>
      <c r="B160" t="str">
        <f>VLOOKUP(A160,GDP_LCU!A:B,2,FALSE)</f>
        <v>MLI</v>
      </c>
      <c r="C160">
        <v>1593940941100</v>
      </c>
    </row>
    <row r="161" spans="1:3" x14ac:dyDescent="0.35">
      <c r="A161" t="s">
        <v>107</v>
      </c>
      <c r="B161" t="str">
        <f>VLOOKUP(A161,GDP_LCU!A:B,2,FALSE)</f>
        <v>MLT</v>
      </c>
      <c r="C161">
        <v>2333176516.00635</v>
      </c>
    </row>
    <row r="162" spans="1:3" x14ac:dyDescent="0.35">
      <c r="A162" t="s">
        <v>108</v>
      </c>
      <c r="B162" t="str">
        <f>VLOOKUP(A162,GDP_LCU!A:B,2,FALSE)</f>
        <v>MMR</v>
      </c>
      <c r="C162" t="s">
        <v>585</v>
      </c>
    </row>
    <row r="163" spans="1:3" x14ac:dyDescent="0.35">
      <c r="A163" t="s">
        <v>240</v>
      </c>
      <c r="B163" t="str">
        <f>VLOOKUP(A163,GDP_LCU!A:B,2,FALSE)</f>
        <v>MNA</v>
      </c>
      <c r="C163" t="s">
        <v>585</v>
      </c>
    </row>
    <row r="164" spans="1:3" x14ac:dyDescent="0.35">
      <c r="A164" t="s">
        <v>109</v>
      </c>
      <c r="B164" t="str">
        <f>VLOOKUP(A164,GDP_LCU!A:B,2,FALSE)</f>
        <v>MNE</v>
      </c>
      <c r="C164">
        <v>881124000</v>
      </c>
    </row>
    <row r="165" spans="1:3" x14ac:dyDescent="0.35">
      <c r="A165" t="s">
        <v>110</v>
      </c>
      <c r="B165" t="str">
        <f>VLOOKUP(A165,GDP_LCU!A:B,2,FALSE)</f>
        <v>MNG</v>
      </c>
      <c r="C165">
        <v>4959952364700</v>
      </c>
    </row>
    <row r="166" spans="1:3" x14ac:dyDescent="0.35">
      <c r="A166" t="s">
        <v>241</v>
      </c>
      <c r="B166" t="str">
        <f>VLOOKUP(A166,GDP_LCU!A:B,2,FALSE)</f>
        <v>MNP</v>
      </c>
      <c r="C166" t="s">
        <v>585</v>
      </c>
    </row>
    <row r="167" spans="1:3" x14ac:dyDescent="0.35">
      <c r="A167" t="s">
        <v>111</v>
      </c>
      <c r="B167" t="str">
        <f>VLOOKUP(A167,GDP_LCU!A:B,2,FALSE)</f>
        <v>MOZ</v>
      </c>
      <c r="C167">
        <v>219046507800</v>
      </c>
    </row>
    <row r="168" spans="1:3" x14ac:dyDescent="0.35">
      <c r="A168" t="s">
        <v>112</v>
      </c>
      <c r="B168" t="str">
        <f>VLOOKUP(A168,GDP_LCU!A:B,2,FALSE)</f>
        <v>MRT</v>
      </c>
      <c r="C168">
        <v>38512400000</v>
      </c>
    </row>
    <row r="169" spans="1:3" x14ac:dyDescent="0.35">
      <c r="A169" t="s">
        <v>113</v>
      </c>
      <c r="B169" t="str">
        <f>VLOOKUP(A169,GDP_LCU!A:B,2,FALSE)</f>
        <v>MUS</v>
      </c>
      <c r="C169">
        <v>75534000000</v>
      </c>
    </row>
    <row r="170" spans="1:3" x14ac:dyDescent="0.35">
      <c r="A170" t="s">
        <v>114</v>
      </c>
      <c r="B170" t="str">
        <f>VLOOKUP(A170,GDP_LCU!A:B,2,FALSE)</f>
        <v>MWI</v>
      </c>
      <c r="C170" t="s">
        <v>585</v>
      </c>
    </row>
    <row r="171" spans="1:3" x14ac:dyDescent="0.35">
      <c r="A171" t="s">
        <v>115</v>
      </c>
      <c r="B171" t="str">
        <f>VLOOKUP(A171,GDP_LCU!A:B,2,FALSE)</f>
        <v>MYS</v>
      </c>
      <c r="C171">
        <v>176280846000</v>
      </c>
    </row>
    <row r="172" spans="1:3" x14ac:dyDescent="0.35">
      <c r="A172" t="s">
        <v>242</v>
      </c>
      <c r="B172" t="str">
        <f>VLOOKUP(A172,GDP_LCU!A:B,2,FALSE)</f>
        <v>NAC</v>
      </c>
      <c r="C172" t="s">
        <v>585</v>
      </c>
    </row>
    <row r="173" spans="1:3" x14ac:dyDescent="0.35">
      <c r="A173" t="s">
        <v>116</v>
      </c>
      <c r="B173" t="str">
        <f>VLOOKUP(A173,GDP_LCU!A:B,2,FALSE)</f>
        <v>NAM</v>
      </c>
      <c r="C173">
        <v>46307027300</v>
      </c>
    </row>
    <row r="174" spans="1:3" x14ac:dyDescent="0.35">
      <c r="A174" t="s">
        <v>243</v>
      </c>
      <c r="B174" t="str">
        <f>VLOOKUP(A174,GDP_LCU!A:B,2,FALSE)</f>
        <v>NCL</v>
      </c>
      <c r="C174" t="s">
        <v>585</v>
      </c>
    </row>
    <row r="175" spans="1:3" x14ac:dyDescent="0.35">
      <c r="A175" t="s">
        <v>117</v>
      </c>
      <c r="B175" t="str">
        <f>VLOOKUP(A175,GDP_LCU!A:B,2,FALSE)</f>
        <v>NER</v>
      </c>
      <c r="C175">
        <v>1182294273100</v>
      </c>
    </row>
    <row r="176" spans="1:3" x14ac:dyDescent="0.35">
      <c r="A176" t="s">
        <v>118</v>
      </c>
      <c r="B176" t="str">
        <f>VLOOKUP(A176,GDP_LCU!A:B,2,FALSE)</f>
        <v>NGA</v>
      </c>
      <c r="C176" t="s">
        <v>585</v>
      </c>
    </row>
    <row r="177" spans="1:3" x14ac:dyDescent="0.35">
      <c r="A177" t="s">
        <v>119</v>
      </c>
      <c r="B177" t="str">
        <f>VLOOKUP(A177,GDP_LCU!A:B,2,FALSE)</f>
        <v>NIC</v>
      </c>
      <c r="C177">
        <v>63987000000</v>
      </c>
    </row>
    <row r="178" spans="1:3" x14ac:dyDescent="0.35">
      <c r="A178" t="s">
        <v>120</v>
      </c>
      <c r="B178" t="str">
        <f>VLOOKUP(A178,GDP_LCU!A:B,2,FALSE)</f>
        <v>NLD</v>
      </c>
      <c r="C178">
        <v>200134000000</v>
      </c>
    </row>
    <row r="179" spans="1:3" x14ac:dyDescent="0.35">
      <c r="A179" t="s">
        <v>121</v>
      </c>
      <c r="B179" t="str">
        <f>VLOOKUP(A179,GDP_LCU!A:B,2,FALSE)</f>
        <v>NOR</v>
      </c>
      <c r="C179">
        <v>866988000000</v>
      </c>
    </row>
    <row r="180" spans="1:3" x14ac:dyDescent="0.35">
      <c r="A180" t="s">
        <v>122</v>
      </c>
      <c r="B180" t="str">
        <f>VLOOKUP(A180,GDP_LCU!A:B,2,FALSE)</f>
        <v>NPL</v>
      </c>
      <c r="C180">
        <v>313233054900</v>
      </c>
    </row>
    <row r="181" spans="1:3" x14ac:dyDescent="0.35">
      <c r="A181" t="s">
        <v>123</v>
      </c>
      <c r="B181" t="str">
        <f>VLOOKUP(A181,GDP_LCU!A:B,2,FALSE)</f>
        <v>NRU</v>
      </c>
      <c r="C181" t="s">
        <v>585</v>
      </c>
    </row>
    <row r="182" spans="1:3" x14ac:dyDescent="0.35">
      <c r="A182" t="s">
        <v>124</v>
      </c>
      <c r="B182" t="str">
        <f>VLOOKUP(A182,GDP_LCU!A:B,2,FALSE)</f>
        <v>NZL</v>
      </c>
      <c r="C182">
        <v>60952000000</v>
      </c>
    </row>
    <row r="183" spans="1:3" x14ac:dyDescent="0.35">
      <c r="A183" t="s">
        <v>244</v>
      </c>
      <c r="B183" t="str">
        <f>VLOOKUP(A183,GDP_LCU!A:B,2,FALSE)</f>
        <v>OED</v>
      </c>
      <c r="C183" t="s">
        <v>585</v>
      </c>
    </row>
    <row r="184" spans="1:3" x14ac:dyDescent="0.35">
      <c r="A184" t="s">
        <v>125</v>
      </c>
      <c r="B184" t="str">
        <f>VLOOKUP(A184,GDP_LCU!A:B,2,FALSE)</f>
        <v>OMN</v>
      </c>
      <c r="C184">
        <v>7824400000</v>
      </c>
    </row>
    <row r="185" spans="1:3" x14ac:dyDescent="0.35">
      <c r="A185" t="s">
        <v>245</v>
      </c>
      <c r="B185" t="str">
        <f>VLOOKUP(A185,GDP_LCU!A:B,2,FALSE)</f>
        <v>OSS</v>
      </c>
      <c r="C185" t="s">
        <v>585</v>
      </c>
    </row>
    <row r="186" spans="1:3" x14ac:dyDescent="0.35">
      <c r="A186" t="s">
        <v>126</v>
      </c>
      <c r="B186" t="str">
        <f>VLOOKUP(A186,GDP_LCU!A:B,2,FALSE)</f>
        <v>PAK</v>
      </c>
      <c r="C186">
        <v>4708220000000</v>
      </c>
    </row>
    <row r="187" spans="1:3" x14ac:dyDescent="0.35">
      <c r="A187" t="s">
        <v>127</v>
      </c>
      <c r="B187" t="str">
        <f>VLOOKUP(A187,GDP_LCU!A:B,2,FALSE)</f>
        <v>PAN</v>
      </c>
      <c r="C187">
        <v>7765492690.4851103</v>
      </c>
    </row>
    <row r="188" spans="1:3" x14ac:dyDescent="0.35">
      <c r="A188" t="s">
        <v>128</v>
      </c>
      <c r="B188" t="str">
        <f>VLOOKUP(A188,GDP_LCU!A:B,2,FALSE)</f>
        <v>PER</v>
      </c>
      <c r="C188">
        <v>100920000000</v>
      </c>
    </row>
    <row r="189" spans="1:3" x14ac:dyDescent="0.35">
      <c r="A189" t="s">
        <v>129</v>
      </c>
      <c r="B189" t="str">
        <f>VLOOKUP(A189,GDP_LCU!A:B,2,FALSE)</f>
        <v>PHL</v>
      </c>
      <c r="C189">
        <v>2433439250300</v>
      </c>
    </row>
    <row r="190" spans="1:3" x14ac:dyDescent="0.35">
      <c r="A190" t="s">
        <v>130</v>
      </c>
      <c r="B190" t="str">
        <f>VLOOKUP(A190,GDP_LCU!A:B,2,FALSE)</f>
        <v>PLW</v>
      </c>
      <c r="C190">
        <v>95232017.517089799</v>
      </c>
    </row>
    <row r="191" spans="1:3" x14ac:dyDescent="0.35">
      <c r="A191" t="s">
        <v>131</v>
      </c>
      <c r="B191" t="str">
        <f>VLOOKUP(A191,GDP_LCU!A:B,2,FALSE)</f>
        <v>PNG</v>
      </c>
      <c r="C191" t="s">
        <v>585</v>
      </c>
    </row>
    <row r="192" spans="1:3" x14ac:dyDescent="0.35">
      <c r="A192" t="s">
        <v>132</v>
      </c>
      <c r="B192" t="str">
        <f>VLOOKUP(A192,GDP_LCU!A:B,2,FALSE)</f>
        <v>POL</v>
      </c>
      <c r="C192">
        <v>412432000000</v>
      </c>
    </row>
    <row r="193" spans="1:3" x14ac:dyDescent="0.35">
      <c r="A193" t="s">
        <v>246</v>
      </c>
      <c r="B193" t="str">
        <f>VLOOKUP(A193,GDP_LCU!A:B,2,FALSE)</f>
        <v>PRE</v>
      </c>
      <c r="C193" t="s">
        <v>585</v>
      </c>
    </row>
    <row r="194" spans="1:3" x14ac:dyDescent="0.35">
      <c r="A194" t="s">
        <v>247</v>
      </c>
      <c r="B194" t="str">
        <f>VLOOKUP(A194,GDP_LCU!A:B,2,FALSE)</f>
        <v>PRI</v>
      </c>
      <c r="C194">
        <v>8381200000.000001</v>
      </c>
    </row>
    <row r="195" spans="1:3" x14ac:dyDescent="0.35">
      <c r="A195" t="s">
        <v>248</v>
      </c>
      <c r="B195" t="str">
        <f>VLOOKUP(A195,GDP_LCU!A:B,2,FALSE)</f>
        <v>PRK</v>
      </c>
      <c r="C195" t="s">
        <v>585</v>
      </c>
    </row>
    <row r="196" spans="1:3" x14ac:dyDescent="0.35">
      <c r="A196" t="s">
        <v>133</v>
      </c>
      <c r="B196" t="str">
        <f>VLOOKUP(A196,GDP_LCU!A:B,2,FALSE)</f>
        <v>PRT</v>
      </c>
      <c r="C196">
        <v>36437852000</v>
      </c>
    </row>
    <row r="197" spans="1:3" x14ac:dyDescent="0.35">
      <c r="A197" t="s">
        <v>134</v>
      </c>
      <c r="B197" t="str">
        <f>VLOOKUP(A197,GDP_LCU!A:B,2,FALSE)</f>
        <v>PRY</v>
      </c>
      <c r="C197">
        <v>28274607616000</v>
      </c>
    </row>
    <row r="198" spans="1:3" x14ac:dyDescent="0.35">
      <c r="A198" t="s">
        <v>176</v>
      </c>
      <c r="B198" t="str">
        <f>VLOOKUP(A198,GDP_LCU!A:B,2,FALSE)</f>
        <v>PSE</v>
      </c>
      <c r="C198">
        <v>3539800000</v>
      </c>
    </row>
    <row r="199" spans="1:3" x14ac:dyDescent="0.35">
      <c r="A199" t="s">
        <v>249</v>
      </c>
      <c r="B199" t="str">
        <f>VLOOKUP(A199,GDP_LCU!A:B,2,FALSE)</f>
        <v>PSS</v>
      </c>
      <c r="C199" t="s">
        <v>585</v>
      </c>
    </row>
    <row r="200" spans="1:3" x14ac:dyDescent="0.35">
      <c r="A200" t="s">
        <v>250</v>
      </c>
      <c r="B200" t="str">
        <f>VLOOKUP(A200,GDP_LCU!A:B,2,FALSE)</f>
        <v>PST</v>
      </c>
      <c r="C200" t="s">
        <v>585</v>
      </c>
    </row>
    <row r="201" spans="1:3" x14ac:dyDescent="0.35">
      <c r="A201" t="s">
        <v>251</v>
      </c>
      <c r="B201" t="str">
        <f>VLOOKUP(A201,GDP_LCU!A:B,2,FALSE)</f>
        <v>PYF</v>
      </c>
      <c r="C201">
        <v>196743000000</v>
      </c>
    </row>
    <row r="202" spans="1:3" x14ac:dyDescent="0.35">
      <c r="A202" t="s">
        <v>135</v>
      </c>
      <c r="B202" t="str">
        <f>VLOOKUP(A202,GDP_LCU!A:B,2,FALSE)</f>
        <v>QAT</v>
      </c>
      <c r="C202">
        <v>118534658100</v>
      </c>
    </row>
    <row r="203" spans="1:3" x14ac:dyDescent="0.35">
      <c r="A203" t="s">
        <v>136</v>
      </c>
      <c r="B203" t="str">
        <f>VLOOKUP(A203,GDP_LCU!A:B,2,FALSE)</f>
        <v>ROU</v>
      </c>
      <c r="C203">
        <v>186596100000</v>
      </c>
    </row>
    <row r="204" spans="1:3" x14ac:dyDescent="0.35">
      <c r="A204" t="s">
        <v>137</v>
      </c>
      <c r="B204" t="str">
        <f>VLOOKUP(A204,GDP_LCU!A:B,2,FALSE)</f>
        <v>RUS</v>
      </c>
      <c r="C204">
        <v>19840600000000</v>
      </c>
    </row>
    <row r="205" spans="1:3" x14ac:dyDescent="0.35">
      <c r="A205" t="s">
        <v>138</v>
      </c>
      <c r="B205" t="str">
        <f>VLOOKUP(A205,GDP_LCU!A:B,2,FALSE)</f>
        <v>RWA</v>
      </c>
      <c r="C205">
        <v>1472150000000</v>
      </c>
    </row>
    <row r="206" spans="1:3" x14ac:dyDescent="0.35">
      <c r="A206" t="s">
        <v>252</v>
      </c>
      <c r="B206" t="str">
        <f>VLOOKUP(A206,GDP_LCU!A:B,2,FALSE)</f>
        <v>SAS</v>
      </c>
      <c r="C206" t="s">
        <v>585</v>
      </c>
    </row>
    <row r="207" spans="1:3" x14ac:dyDescent="0.35">
      <c r="A207" t="s">
        <v>139</v>
      </c>
      <c r="B207" t="str">
        <f>VLOOKUP(A207,GDP_LCU!A:B,2,FALSE)</f>
        <v>SAU</v>
      </c>
      <c r="C207">
        <v>735969000000</v>
      </c>
    </row>
    <row r="208" spans="1:3" x14ac:dyDescent="0.35">
      <c r="A208" t="s">
        <v>140</v>
      </c>
      <c r="B208" t="str">
        <f>VLOOKUP(A208,GDP_LCU!A:B,2,FALSE)</f>
        <v>SDN</v>
      </c>
      <c r="C208">
        <v>120731501400</v>
      </c>
    </row>
    <row r="209" spans="1:3" x14ac:dyDescent="0.35">
      <c r="A209" t="s">
        <v>141</v>
      </c>
      <c r="B209" t="str">
        <f>VLOOKUP(A209,GDP_LCU!A:B,2,FALSE)</f>
        <v>SEN</v>
      </c>
      <c r="C209">
        <v>1920821000000</v>
      </c>
    </row>
    <row r="210" spans="1:3" x14ac:dyDescent="0.35">
      <c r="A210" t="s">
        <v>142</v>
      </c>
      <c r="B210" t="str">
        <f>VLOOKUP(A210,GDP_LCU!A:B,2,FALSE)</f>
        <v>SGP</v>
      </c>
      <c r="C210">
        <v>52695500000</v>
      </c>
    </row>
    <row r="211" spans="1:3" x14ac:dyDescent="0.35">
      <c r="A211" t="s">
        <v>143</v>
      </c>
      <c r="B211" t="str">
        <f>VLOOKUP(A211,GDP_LCU!A:B,2,FALSE)</f>
        <v>SLB</v>
      </c>
      <c r="C211">
        <v>3656000000</v>
      </c>
    </row>
    <row r="212" spans="1:3" x14ac:dyDescent="0.35">
      <c r="A212" t="s">
        <v>144</v>
      </c>
      <c r="B212" t="str">
        <f>VLOOKUP(A212,GDP_LCU!A:B,2,FALSE)</f>
        <v>SLE</v>
      </c>
      <c r="C212">
        <v>3146501200</v>
      </c>
    </row>
    <row r="213" spans="1:3" x14ac:dyDescent="0.35">
      <c r="A213" t="s">
        <v>145</v>
      </c>
      <c r="B213" t="str">
        <f>VLOOKUP(A213,GDP_LCU!A:B,2,FALSE)</f>
        <v>SLV</v>
      </c>
      <c r="C213">
        <v>4309590000</v>
      </c>
    </row>
    <row r="214" spans="1:3" x14ac:dyDescent="0.35">
      <c r="A214" t="s">
        <v>146</v>
      </c>
      <c r="B214" t="str">
        <f>VLOOKUP(A214,GDP_LCU!A:B,2,FALSE)</f>
        <v>SMR</v>
      </c>
      <c r="C214">
        <v>281822553</v>
      </c>
    </row>
    <row r="215" spans="1:3" x14ac:dyDescent="0.35">
      <c r="A215" t="s">
        <v>147</v>
      </c>
      <c r="B215" t="str">
        <f>VLOOKUP(A215,GDP_LCU!A:B,2,FALSE)</f>
        <v>SOM</v>
      </c>
      <c r="C215">
        <v>13250473809100</v>
      </c>
    </row>
    <row r="216" spans="1:3" x14ac:dyDescent="0.35">
      <c r="A216" t="s">
        <v>148</v>
      </c>
      <c r="B216" t="str">
        <f>VLOOKUP(A216,GDP_LCU!A:B,2,FALSE)</f>
        <v>SRB</v>
      </c>
      <c r="C216">
        <v>901124200000</v>
      </c>
    </row>
    <row r="217" spans="1:3" x14ac:dyDescent="0.35">
      <c r="A217" t="s">
        <v>253</v>
      </c>
      <c r="B217" t="str">
        <f>VLOOKUP(A217,GDP_LCU!A:B,2,FALSE)</f>
        <v>SSA</v>
      </c>
      <c r="C217" t="s">
        <v>585</v>
      </c>
    </row>
    <row r="218" spans="1:3" x14ac:dyDescent="0.35">
      <c r="A218" t="s">
        <v>149</v>
      </c>
      <c r="B218" t="str">
        <f>VLOOKUP(A218,GDP_LCU!A:B,2,FALSE)</f>
        <v>SSD</v>
      </c>
      <c r="C218" t="s">
        <v>585</v>
      </c>
    </row>
    <row r="219" spans="1:3" x14ac:dyDescent="0.35">
      <c r="A219" t="s">
        <v>254</v>
      </c>
      <c r="B219" t="str">
        <f>VLOOKUP(A219,GDP_LCU!A:B,2,FALSE)</f>
        <v>SSF</v>
      </c>
      <c r="C219" t="s">
        <v>585</v>
      </c>
    </row>
    <row r="220" spans="1:3" x14ac:dyDescent="0.35">
      <c r="A220" t="s">
        <v>255</v>
      </c>
      <c r="B220" t="str">
        <f>VLOOKUP(A220,GDP_LCU!A:B,2,FALSE)</f>
        <v>SST</v>
      </c>
      <c r="C220" t="s">
        <v>585</v>
      </c>
    </row>
    <row r="221" spans="1:3" x14ac:dyDescent="0.35">
      <c r="A221" t="s">
        <v>150</v>
      </c>
      <c r="B221" t="str">
        <f>VLOOKUP(A221,GDP_LCU!A:B,2,FALSE)</f>
        <v>STP</v>
      </c>
      <c r="C221" t="s">
        <v>585</v>
      </c>
    </row>
    <row r="222" spans="1:3" x14ac:dyDescent="0.35">
      <c r="A222" t="s">
        <v>151</v>
      </c>
      <c r="B222" t="str">
        <f>VLOOKUP(A222,GDP_LCU!A:B,2,FALSE)</f>
        <v>SUR</v>
      </c>
      <c r="C222" t="s">
        <v>585</v>
      </c>
    </row>
    <row r="223" spans="1:3" x14ac:dyDescent="0.35">
      <c r="A223" t="s">
        <v>256</v>
      </c>
      <c r="B223" t="str">
        <f>VLOOKUP(A223,GDP_LCU!A:B,2,FALSE)</f>
        <v>SVK</v>
      </c>
      <c r="C223">
        <v>18492978000</v>
      </c>
    </row>
    <row r="224" spans="1:3" x14ac:dyDescent="0.35">
      <c r="A224" t="s">
        <v>152</v>
      </c>
      <c r="B224" t="str">
        <f>VLOOKUP(A224,GDP_LCU!A:B,2,FALSE)</f>
        <v>SVN</v>
      </c>
      <c r="C224">
        <v>8894305000</v>
      </c>
    </row>
    <row r="225" spans="1:3" x14ac:dyDescent="0.35">
      <c r="A225" t="s">
        <v>153</v>
      </c>
      <c r="B225" t="str">
        <f>VLOOKUP(A225,GDP_LCU!A:B,2,FALSE)</f>
        <v>SWE</v>
      </c>
      <c r="C225">
        <v>1300440000000</v>
      </c>
    </row>
    <row r="226" spans="1:3" x14ac:dyDescent="0.35">
      <c r="A226" t="s">
        <v>154</v>
      </c>
      <c r="B226" t="str">
        <f>VLOOKUP(A226,GDP_LCU!A:B,2,FALSE)</f>
        <v>SWZ</v>
      </c>
      <c r="C226">
        <v>14070618200</v>
      </c>
    </row>
    <row r="227" spans="1:3" x14ac:dyDescent="0.35">
      <c r="A227" t="s">
        <v>257</v>
      </c>
      <c r="B227" t="str">
        <f>VLOOKUP(A227,GDP_LCU!A:B,2,FALSE)</f>
        <v>SXM</v>
      </c>
      <c r="C227" t="s">
        <v>585</v>
      </c>
    </row>
    <row r="228" spans="1:3" x14ac:dyDescent="0.35">
      <c r="A228" t="s">
        <v>155</v>
      </c>
      <c r="B228" t="str">
        <f>VLOOKUP(A228,GDP_LCU!A:B,2,FALSE)</f>
        <v>SYC</v>
      </c>
      <c r="C228">
        <v>5817522000</v>
      </c>
    </row>
    <row r="229" spans="1:3" x14ac:dyDescent="0.35">
      <c r="A229" t="s">
        <v>156</v>
      </c>
      <c r="B229" t="str">
        <f>VLOOKUP(A229,GDP_LCU!A:B,2,FALSE)</f>
        <v>SYR</v>
      </c>
      <c r="C229">
        <v>1786119000000</v>
      </c>
    </row>
    <row r="230" spans="1:3" x14ac:dyDescent="0.35">
      <c r="A230" t="s">
        <v>258</v>
      </c>
      <c r="B230" t="str">
        <f>VLOOKUP(A230,GDP_LCU!A:B,2,FALSE)</f>
        <v>TCA</v>
      </c>
      <c r="C230" t="s">
        <v>585</v>
      </c>
    </row>
    <row r="231" spans="1:3" x14ac:dyDescent="0.35">
      <c r="A231" t="s">
        <v>157</v>
      </c>
      <c r="B231" t="str">
        <f>VLOOKUP(A231,GDP_LCU!A:B,2,FALSE)</f>
        <v>TCD</v>
      </c>
      <c r="C231">
        <v>237836100000</v>
      </c>
    </row>
    <row r="232" spans="1:3" x14ac:dyDescent="0.35">
      <c r="A232" t="s">
        <v>259</v>
      </c>
      <c r="B232" t="str">
        <f>VLOOKUP(A232,GDP_LCU!A:B,2,FALSE)</f>
        <v>TEA</v>
      </c>
      <c r="C232" t="s">
        <v>585</v>
      </c>
    </row>
    <row r="233" spans="1:3" x14ac:dyDescent="0.35">
      <c r="A233" t="s">
        <v>260</v>
      </c>
      <c r="B233" t="str">
        <f>VLOOKUP(A233,GDP_LCU!A:B,2,FALSE)</f>
        <v>TEC</v>
      </c>
      <c r="C233" t="s">
        <v>585</v>
      </c>
    </row>
    <row r="234" spans="1:3" x14ac:dyDescent="0.35">
      <c r="A234" t="s">
        <v>158</v>
      </c>
      <c r="B234" t="str">
        <f>VLOOKUP(A234,GDP_LCU!A:B,2,FALSE)</f>
        <v>TGO</v>
      </c>
      <c r="C234">
        <v>542680000000</v>
      </c>
    </row>
    <row r="235" spans="1:3" x14ac:dyDescent="0.35">
      <c r="A235" t="s">
        <v>159</v>
      </c>
      <c r="B235" t="str">
        <f>VLOOKUP(A235,GDP_LCU!A:B,2,FALSE)</f>
        <v>THA</v>
      </c>
      <c r="C235">
        <v>2730870000000</v>
      </c>
    </row>
    <row r="236" spans="1:3" x14ac:dyDescent="0.35">
      <c r="A236" t="s">
        <v>160</v>
      </c>
      <c r="B236" t="str">
        <f>VLOOKUP(A236,GDP_LCU!A:B,2,FALSE)</f>
        <v>TJK</v>
      </c>
      <c r="C236">
        <v>8824300000</v>
      </c>
    </row>
    <row r="237" spans="1:3" x14ac:dyDescent="0.35">
      <c r="A237" t="s">
        <v>161</v>
      </c>
      <c r="B237" t="str">
        <f>VLOOKUP(A237,GDP_LCU!A:B,2,FALSE)</f>
        <v>TKM</v>
      </c>
      <c r="C237">
        <v>15360000000</v>
      </c>
    </row>
    <row r="238" spans="1:3" x14ac:dyDescent="0.35">
      <c r="A238" t="s">
        <v>261</v>
      </c>
      <c r="B238" t="str">
        <f>VLOOKUP(A238,GDP_LCU!A:B,2,FALSE)</f>
        <v>TLA</v>
      </c>
      <c r="C238" t="s">
        <v>585</v>
      </c>
    </row>
    <row r="239" spans="1:3" x14ac:dyDescent="0.35">
      <c r="A239" t="s">
        <v>162</v>
      </c>
      <c r="B239" t="str">
        <f>VLOOKUP(A239,GDP_LCU!A:B,2,FALSE)</f>
        <v>TLS</v>
      </c>
      <c r="C239">
        <v>959807900</v>
      </c>
    </row>
    <row r="240" spans="1:3" x14ac:dyDescent="0.35">
      <c r="A240" t="s">
        <v>262</v>
      </c>
      <c r="B240" t="str">
        <f>VLOOKUP(A240,GDP_LCU!A:B,2,FALSE)</f>
        <v>TMN</v>
      </c>
      <c r="C240" t="s">
        <v>585</v>
      </c>
    </row>
    <row r="241" spans="1:3" x14ac:dyDescent="0.35">
      <c r="A241" t="s">
        <v>163</v>
      </c>
      <c r="B241" t="str">
        <f>VLOOKUP(A241,GDP_LCU!A:B,2,FALSE)</f>
        <v>TON</v>
      </c>
      <c r="C241">
        <v>236464000</v>
      </c>
    </row>
    <row r="242" spans="1:3" x14ac:dyDescent="0.35">
      <c r="A242" t="s">
        <v>263</v>
      </c>
      <c r="B242" t="str">
        <f>VLOOKUP(A242,GDP_LCU!A:B,2,FALSE)</f>
        <v>TSA</v>
      </c>
      <c r="C242" t="s">
        <v>585</v>
      </c>
    </row>
    <row r="243" spans="1:3" x14ac:dyDescent="0.35">
      <c r="A243" t="s">
        <v>264</v>
      </c>
      <c r="B243" t="str">
        <f>VLOOKUP(A243,GDP_LCU!A:B,2,FALSE)</f>
        <v>TSS</v>
      </c>
      <c r="C243" t="s">
        <v>585</v>
      </c>
    </row>
    <row r="244" spans="1:3" x14ac:dyDescent="0.35">
      <c r="A244" t="s">
        <v>164</v>
      </c>
      <c r="B244" t="str">
        <f>VLOOKUP(A244,GDP_LCU!A:B,2,FALSE)</f>
        <v>TTO</v>
      </c>
      <c r="C244" t="s">
        <v>585</v>
      </c>
    </row>
    <row r="245" spans="1:3" x14ac:dyDescent="0.35">
      <c r="A245" t="s">
        <v>165</v>
      </c>
      <c r="B245" t="str">
        <f>VLOOKUP(A245,GDP_LCU!A:B,2,FALSE)</f>
        <v>TUN</v>
      </c>
      <c r="C245">
        <v>23138500000</v>
      </c>
    </row>
    <row r="246" spans="1:3" x14ac:dyDescent="0.35">
      <c r="A246" t="s">
        <v>166</v>
      </c>
      <c r="B246" t="str">
        <f>VLOOKUP(A246,GDP_LCU!A:B,2,FALSE)</f>
        <v>TUR</v>
      </c>
      <c r="C246">
        <v>659370522500</v>
      </c>
    </row>
    <row r="247" spans="1:3" x14ac:dyDescent="0.35">
      <c r="A247" t="s">
        <v>167</v>
      </c>
      <c r="B247" t="str">
        <f>VLOOKUP(A247,GDP_LCU!A:B,2,FALSE)</f>
        <v>TUV</v>
      </c>
      <c r="C247" t="s">
        <v>585</v>
      </c>
    </row>
    <row r="248" spans="1:3" x14ac:dyDescent="0.35">
      <c r="A248" t="s">
        <v>168</v>
      </c>
      <c r="B248" t="str">
        <f>VLOOKUP(A248,GDP_LCU!A:B,2,FALSE)</f>
        <v>TZA</v>
      </c>
      <c r="C248">
        <v>10867504831400</v>
      </c>
    </row>
    <row r="249" spans="1:3" x14ac:dyDescent="0.35">
      <c r="A249" t="s">
        <v>169</v>
      </c>
      <c r="B249" t="str">
        <f>VLOOKUP(A249,GDP_LCU!A:B,2,FALSE)</f>
        <v>UGA</v>
      </c>
      <c r="C249">
        <v>11590298276000</v>
      </c>
    </row>
    <row r="250" spans="1:3" x14ac:dyDescent="0.35">
      <c r="A250" t="s">
        <v>170</v>
      </c>
      <c r="B250" t="str">
        <f>VLOOKUP(A250,GDP_LCU!A:B,2,FALSE)</f>
        <v>UKR</v>
      </c>
      <c r="C250">
        <v>746939000000</v>
      </c>
    </row>
    <row r="251" spans="1:3" x14ac:dyDescent="0.35">
      <c r="A251" t="s">
        <v>265</v>
      </c>
      <c r="B251" t="str">
        <f>VLOOKUP(A251,GDP_LCU!A:B,2,FALSE)</f>
        <v>UMC</v>
      </c>
      <c r="C251" t="s">
        <v>585</v>
      </c>
    </row>
    <row r="252" spans="1:3" x14ac:dyDescent="0.35">
      <c r="A252" t="s">
        <v>171</v>
      </c>
      <c r="B252" t="str">
        <f>VLOOKUP(A252,GDP_LCU!A:B,2,FALSE)</f>
        <v>URY</v>
      </c>
      <c r="C252" t="s">
        <v>585</v>
      </c>
    </row>
    <row r="253" spans="1:3" x14ac:dyDescent="0.35">
      <c r="A253" t="s">
        <v>172</v>
      </c>
      <c r="B253" t="str">
        <f>VLOOKUP(A253,GDP_LCU!A:B,2,FALSE)</f>
        <v>USA</v>
      </c>
      <c r="C253">
        <v>3014914000000</v>
      </c>
    </row>
    <row r="254" spans="1:3" x14ac:dyDescent="0.35">
      <c r="A254" t="s">
        <v>173</v>
      </c>
      <c r="B254" t="str">
        <f>VLOOKUP(A254,GDP_LCU!A:B,2,FALSE)</f>
        <v>UZB</v>
      </c>
      <c r="C254">
        <v>86043600000000</v>
      </c>
    </row>
    <row r="255" spans="1:3" x14ac:dyDescent="0.35">
      <c r="A255" t="s">
        <v>266</v>
      </c>
      <c r="B255" t="str">
        <f>VLOOKUP(A255,GDP_LCU!A:B,2,FALSE)</f>
        <v>VCT</v>
      </c>
      <c r="C255" t="s">
        <v>585</v>
      </c>
    </row>
    <row r="256" spans="1:3" x14ac:dyDescent="0.35">
      <c r="A256" t="s">
        <v>267</v>
      </c>
      <c r="B256" t="str">
        <f>VLOOKUP(A256,GDP_LCU!A:B,2,FALSE)</f>
        <v>VEN</v>
      </c>
      <c r="C256" t="s">
        <v>585</v>
      </c>
    </row>
    <row r="257" spans="1:3" x14ac:dyDescent="0.35">
      <c r="A257" t="s">
        <v>268</v>
      </c>
      <c r="B257" t="str">
        <f>VLOOKUP(A257,GDP_LCU!A:B,2,FALSE)</f>
        <v>VGB</v>
      </c>
      <c r="C257" t="s">
        <v>585</v>
      </c>
    </row>
    <row r="258" spans="1:3" x14ac:dyDescent="0.35">
      <c r="A258" t="s">
        <v>269</v>
      </c>
      <c r="B258" t="str">
        <f>VLOOKUP(A258,GDP_LCU!A:B,2,FALSE)</f>
        <v>VIR</v>
      </c>
      <c r="C258">
        <v>1527000000</v>
      </c>
    </row>
    <row r="259" spans="1:3" x14ac:dyDescent="0.35">
      <c r="A259" t="s">
        <v>270</v>
      </c>
      <c r="B259" t="str">
        <f>VLOOKUP(A259,GDP_LCU!A:B,2,FALSE)</f>
        <v>VNM</v>
      </c>
      <c r="C259">
        <v>738260100000000</v>
      </c>
    </row>
    <row r="260" spans="1:3" x14ac:dyDescent="0.35">
      <c r="A260" t="s">
        <v>175</v>
      </c>
      <c r="B260" t="str">
        <f>VLOOKUP(A260,GDP_LCU!A:B,2,FALSE)</f>
        <v>VUT</v>
      </c>
      <c r="C260">
        <v>22107000000</v>
      </c>
    </row>
    <row r="261" spans="1:3" x14ac:dyDescent="0.35">
      <c r="A261" t="s">
        <v>271</v>
      </c>
      <c r="B261" t="str">
        <f>VLOOKUP(A261,GDP_LCU!A:B,2,FALSE)</f>
        <v>WLD</v>
      </c>
      <c r="C261" t="s">
        <v>585</v>
      </c>
    </row>
    <row r="262" spans="1:3" x14ac:dyDescent="0.35">
      <c r="A262" t="s">
        <v>177</v>
      </c>
      <c r="B262" t="str">
        <f>VLOOKUP(A262,GDP_LCU!A:B,2,FALSE)</f>
        <v>WSM</v>
      </c>
      <c r="C262">
        <v>329163800</v>
      </c>
    </row>
    <row r="263" spans="1:3" x14ac:dyDescent="0.35">
      <c r="A263" t="s">
        <v>89</v>
      </c>
      <c r="B263" t="str">
        <f>VLOOKUP(A263,GDP_LCU!A:B,2,FALSE)</f>
        <v>XKX</v>
      </c>
      <c r="C263">
        <v>880994000</v>
      </c>
    </row>
    <row r="264" spans="1:3" x14ac:dyDescent="0.35">
      <c r="A264" t="s">
        <v>272</v>
      </c>
      <c r="B264" t="str">
        <f>VLOOKUP(A264,GDP_LCU!A:B,2,FALSE)</f>
        <v>YEM</v>
      </c>
      <c r="C264" t="s">
        <v>585</v>
      </c>
    </row>
    <row r="265" spans="1:3" x14ac:dyDescent="0.35">
      <c r="A265" t="s">
        <v>178</v>
      </c>
      <c r="B265" t="str">
        <f>VLOOKUP(A265,GDP_LCU!A:B,2,FALSE)</f>
        <v>ZAF</v>
      </c>
      <c r="C265">
        <v>1101419944800</v>
      </c>
    </row>
    <row r="266" spans="1:3" x14ac:dyDescent="0.35">
      <c r="A266" t="s">
        <v>179</v>
      </c>
      <c r="B266" t="str">
        <f>VLOOKUP(A266,GDP_LCU!A:B,2,FALSE)</f>
        <v>ZMB</v>
      </c>
      <c r="C266">
        <v>53132100000</v>
      </c>
    </row>
    <row r="267" spans="1:3" x14ac:dyDescent="0.35">
      <c r="A267" t="s">
        <v>180</v>
      </c>
      <c r="B267" t="str">
        <f>VLOOKUP(A267,GDP_LCU!A:B,2,FALSE)</f>
        <v>ZWE</v>
      </c>
      <c r="C267">
        <v>15571819900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3149-B783-4175-9987-8BB4F1FFEC3D}">
  <dimension ref="A1:C106"/>
  <sheetViews>
    <sheetView workbookViewId="0">
      <selection activeCell="B2" sqref="B2"/>
    </sheetView>
  </sheetViews>
  <sheetFormatPr defaultRowHeight="14.5" x14ac:dyDescent="0.35"/>
  <cols>
    <col min="1" max="1" width="14.26953125" customWidth="1"/>
    <col min="2" max="2" width="11.08984375" customWidth="1"/>
  </cols>
  <sheetData>
    <row r="1" spans="1:3" x14ac:dyDescent="0.35">
      <c r="A1" t="s">
        <v>542</v>
      </c>
      <c r="B1" t="s">
        <v>541</v>
      </c>
      <c r="C1" t="s">
        <v>583</v>
      </c>
    </row>
    <row r="2" spans="1:3" x14ac:dyDescent="0.35">
      <c r="A2" t="str">
        <f>VLOOKUP(B2,country_code!A:B,2,FALSE)</f>
        <v>Albania</v>
      </c>
      <c r="B2" t="s">
        <v>279</v>
      </c>
      <c r="C2">
        <v>20</v>
      </c>
    </row>
    <row r="3" spans="1:3" x14ac:dyDescent="0.35">
      <c r="A3" t="str">
        <f>VLOOKUP(B3,country_code!A:B,2,FALSE)</f>
        <v>Argentina</v>
      </c>
      <c r="B3" t="s">
        <v>283</v>
      </c>
      <c r="C3">
        <v>21</v>
      </c>
    </row>
    <row r="4" spans="1:3" x14ac:dyDescent="0.35">
      <c r="A4" t="str">
        <f>VLOOKUP(B4,country_code!A:B,2,FALSE)</f>
        <v>Armenia</v>
      </c>
      <c r="B4" t="s">
        <v>284</v>
      </c>
      <c r="C4">
        <v>20</v>
      </c>
    </row>
    <row r="5" spans="1:3" x14ac:dyDescent="0.35">
      <c r="A5" t="s">
        <v>9</v>
      </c>
      <c r="B5" t="s">
        <v>286</v>
      </c>
      <c r="C5">
        <v>15</v>
      </c>
    </row>
    <row r="6" spans="1:3" x14ac:dyDescent="0.35">
      <c r="A6" t="str">
        <f>VLOOKUP(B6,country_code!A:B,2,FALSE)</f>
        <v>Australia</v>
      </c>
      <c r="B6" t="s">
        <v>287</v>
      </c>
      <c r="C6">
        <v>10</v>
      </c>
    </row>
    <row r="7" spans="1:3" x14ac:dyDescent="0.35">
      <c r="A7" t="str">
        <f>VLOOKUP(B7,country_code!A:B,2,FALSE)</f>
        <v>Austria</v>
      </c>
      <c r="B7" t="s">
        <v>288</v>
      </c>
      <c r="C7">
        <v>20</v>
      </c>
    </row>
    <row r="8" spans="1:3" x14ac:dyDescent="0.35">
      <c r="A8" t="str">
        <f>VLOOKUP(B8,country_code!A:B,2,FALSE)</f>
        <v>Belgium</v>
      </c>
      <c r="B8" t="s">
        <v>291</v>
      </c>
      <c r="C8">
        <v>21</v>
      </c>
    </row>
    <row r="9" spans="1:3" x14ac:dyDescent="0.35">
      <c r="A9" t="str">
        <f>VLOOKUP(B9,country_code!A:B,2,FALSE)</f>
        <v>Bangladesh</v>
      </c>
      <c r="B9" t="s">
        <v>294</v>
      </c>
      <c r="C9">
        <v>15</v>
      </c>
    </row>
    <row r="10" spans="1:3" x14ac:dyDescent="0.35">
      <c r="A10" t="str">
        <f>VLOOKUP(B10,country_code!A:B,2,FALSE)</f>
        <v>Bulgaria</v>
      </c>
      <c r="B10" t="s">
        <v>295</v>
      </c>
      <c r="C10">
        <v>20</v>
      </c>
    </row>
    <row r="11" spans="1:3" x14ac:dyDescent="0.35">
      <c r="A11" t="str">
        <f>VLOOKUP(B11,country_code!A:B,2,FALSE)</f>
        <v>Bahrain</v>
      </c>
      <c r="B11" t="s">
        <v>296</v>
      </c>
      <c r="C11">
        <v>5</v>
      </c>
    </row>
    <row r="12" spans="1:3" x14ac:dyDescent="0.35">
      <c r="A12" t="str">
        <f>VLOOKUP(B12,country_code!A:B,2,FALSE)</f>
        <v>Bahamas, The</v>
      </c>
      <c r="B12" t="s">
        <v>297</v>
      </c>
      <c r="C12">
        <v>12</v>
      </c>
    </row>
    <row r="13" spans="1:3" x14ac:dyDescent="0.35">
      <c r="A13" t="str">
        <f>VLOOKUP(B13,country_code!A:B,2,FALSE)</f>
        <v>Bosnia and Herzegovina</v>
      </c>
      <c r="B13" t="s">
        <v>298</v>
      </c>
      <c r="C13">
        <v>17</v>
      </c>
    </row>
    <row r="14" spans="1:3" x14ac:dyDescent="0.35">
      <c r="A14" t="str">
        <f>VLOOKUP(B14,country_code!A:B,2,FALSE)</f>
        <v>Belarus</v>
      </c>
      <c r="B14" t="s">
        <v>299</v>
      </c>
      <c r="C14">
        <v>20</v>
      </c>
    </row>
    <row r="15" spans="1:3" x14ac:dyDescent="0.35">
      <c r="A15" t="str">
        <f>VLOOKUP(B15,country_code!A:B,2,FALSE)</f>
        <v>Bolivia</v>
      </c>
      <c r="B15" t="s">
        <v>302</v>
      </c>
      <c r="C15">
        <v>13</v>
      </c>
    </row>
    <row r="16" spans="1:3" x14ac:dyDescent="0.35">
      <c r="A16" t="str">
        <f>VLOOKUP(B16,country_code!A:B,2,FALSE)</f>
        <v>Brazil</v>
      </c>
      <c r="B16" t="s">
        <v>303</v>
      </c>
      <c r="C16">
        <v>18</v>
      </c>
    </row>
    <row r="17" spans="1:3" x14ac:dyDescent="0.35">
      <c r="A17" t="str">
        <f>VLOOKUP(B17,country_code!A:B,2,FALSE)</f>
        <v>Barbados</v>
      </c>
      <c r="B17" t="s">
        <v>304</v>
      </c>
      <c r="C17">
        <v>17.5</v>
      </c>
    </row>
    <row r="18" spans="1:3" x14ac:dyDescent="0.35">
      <c r="A18" t="str">
        <f>VLOOKUP(B18,country_code!A:B,2,FALSE)</f>
        <v>Botswana</v>
      </c>
      <c r="B18" t="s">
        <v>307</v>
      </c>
      <c r="C18">
        <v>12</v>
      </c>
    </row>
    <row r="19" spans="1:3" x14ac:dyDescent="0.35">
      <c r="A19" t="str">
        <f>VLOOKUP(B19,country_code!A:B,2,FALSE)</f>
        <v>Canada</v>
      </c>
      <c r="B19" t="s">
        <v>309</v>
      </c>
      <c r="C19">
        <v>5</v>
      </c>
    </row>
    <row r="20" spans="1:3" x14ac:dyDescent="0.35">
      <c r="A20" t="str">
        <f>VLOOKUP(B20,country_code!A:B,2,FALSE)</f>
        <v>Switzerland</v>
      </c>
      <c r="B20" t="s">
        <v>311</v>
      </c>
      <c r="C20">
        <v>7.7</v>
      </c>
    </row>
    <row r="21" spans="1:3" x14ac:dyDescent="0.35">
      <c r="A21" t="str">
        <f>VLOOKUP(B21,country_code!A:B,2,FALSE)</f>
        <v>Chile</v>
      </c>
      <c r="B21" t="s">
        <v>313</v>
      </c>
      <c r="C21">
        <v>19</v>
      </c>
    </row>
    <row r="22" spans="1:3" x14ac:dyDescent="0.35">
      <c r="A22" t="s">
        <v>34</v>
      </c>
      <c r="B22" t="s">
        <v>314</v>
      </c>
      <c r="C22">
        <v>16</v>
      </c>
    </row>
    <row r="23" spans="1:3" x14ac:dyDescent="0.35">
      <c r="A23" t="str">
        <f>VLOOKUP(B23,country_code!A:B,2,FALSE)</f>
        <v>Costa Rica</v>
      </c>
      <c r="B23" t="s">
        <v>322</v>
      </c>
      <c r="C23">
        <v>13</v>
      </c>
    </row>
    <row r="24" spans="1:3" x14ac:dyDescent="0.35">
      <c r="A24" t="str">
        <f>VLOOKUP(B24,country_code!A:B,2,FALSE)</f>
        <v>Cyprus</v>
      </c>
      <c r="B24" t="s">
        <v>327</v>
      </c>
      <c r="C24">
        <v>19</v>
      </c>
    </row>
    <row r="25" spans="1:3" x14ac:dyDescent="0.35">
      <c r="A25" t="str">
        <f>VLOOKUP(B25,country_code!A:B,2,FALSE)</f>
        <v>Czech Republic</v>
      </c>
      <c r="B25" t="s">
        <v>328</v>
      </c>
      <c r="C25">
        <v>21</v>
      </c>
    </row>
    <row r="26" spans="1:3" x14ac:dyDescent="0.35">
      <c r="A26" t="str">
        <f>VLOOKUP(B26,country_code!A:B,2,FALSE)</f>
        <v>Germany</v>
      </c>
      <c r="B26" t="s">
        <v>329</v>
      </c>
      <c r="C26">
        <v>19</v>
      </c>
    </row>
    <row r="27" spans="1:3" x14ac:dyDescent="0.35">
      <c r="A27" t="str">
        <f>VLOOKUP(B27,country_code!A:B,2,FALSE)</f>
        <v>Denmark</v>
      </c>
      <c r="B27" t="s">
        <v>332</v>
      </c>
      <c r="C27">
        <v>25</v>
      </c>
    </row>
    <row r="28" spans="1:3" x14ac:dyDescent="0.35">
      <c r="A28" t="str">
        <f>VLOOKUP(B28,country_code!A:B,2,FALSE)</f>
        <v>Dominican Republic</v>
      </c>
      <c r="B28" t="s">
        <v>333</v>
      </c>
      <c r="C28">
        <v>18</v>
      </c>
    </row>
    <row r="29" spans="1:3" x14ac:dyDescent="0.35">
      <c r="A29" t="str">
        <f>VLOOKUP(B29,country_code!A:B,2,FALSE)</f>
        <v>Ecuador</v>
      </c>
      <c r="B29" t="s">
        <v>340</v>
      </c>
      <c r="C29">
        <v>12</v>
      </c>
    </row>
    <row r="30" spans="1:3" x14ac:dyDescent="0.35">
      <c r="A30" t="str">
        <f>VLOOKUP(B30,country_code!A:B,2,FALSE)</f>
        <v>Egypt, Arab Rep.</v>
      </c>
      <c r="B30" t="s">
        <v>341</v>
      </c>
      <c r="C30">
        <v>14.000000000000002</v>
      </c>
    </row>
    <row r="31" spans="1:3" x14ac:dyDescent="0.35">
      <c r="A31" t="str">
        <f>VLOOKUP(B31,country_code!A:B,2,FALSE)</f>
        <v>Spain</v>
      </c>
      <c r="B31" t="s">
        <v>344</v>
      </c>
      <c r="C31">
        <v>21</v>
      </c>
    </row>
    <row r="32" spans="1:3" x14ac:dyDescent="0.35">
      <c r="A32" t="str">
        <f>VLOOKUP(B32,country_code!A:B,2,FALSE)</f>
        <v>Estonia</v>
      </c>
      <c r="B32" t="s">
        <v>345</v>
      </c>
      <c r="C32">
        <v>20</v>
      </c>
    </row>
    <row r="33" spans="1:3" x14ac:dyDescent="0.35">
      <c r="A33" t="str">
        <f>VLOOKUP(B33,country_code!A:B,2,FALSE)</f>
        <v>Finland</v>
      </c>
      <c r="B33" t="s">
        <v>349</v>
      </c>
      <c r="C33">
        <v>24</v>
      </c>
    </row>
    <row r="34" spans="1:3" x14ac:dyDescent="0.35">
      <c r="A34" t="str">
        <f>VLOOKUP(B34,country_code!A:B,2,FALSE)</f>
        <v>Fiji</v>
      </c>
      <c r="B34" t="s">
        <v>350</v>
      </c>
      <c r="C34">
        <v>9</v>
      </c>
    </row>
    <row r="35" spans="1:3" x14ac:dyDescent="0.35">
      <c r="A35" t="str">
        <f>VLOOKUP(B35,country_code!A:B,2,FALSE)</f>
        <v>France</v>
      </c>
      <c r="B35" t="s">
        <v>351</v>
      </c>
      <c r="C35">
        <v>20</v>
      </c>
    </row>
    <row r="36" spans="1:3" x14ac:dyDescent="0.35">
      <c r="A36" t="str">
        <f>VLOOKUP(B36,country_code!A:B,2,FALSE)</f>
        <v>United Kingdom</v>
      </c>
      <c r="B36" t="s">
        <v>355</v>
      </c>
      <c r="C36">
        <v>20</v>
      </c>
    </row>
    <row r="37" spans="1:3" x14ac:dyDescent="0.35">
      <c r="A37" t="str">
        <f>VLOOKUP(B37,country_code!A:B,2,FALSE)</f>
        <v>Georgia</v>
      </c>
      <c r="B37" t="s">
        <v>356</v>
      </c>
      <c r="C37">
        <v>18</v>
      </c>
    </row>
    <row r="38" spans="1:3" x14ac:dyDescent="0.35">
      <c r="A38" t="str">
        <f>VLOOKUP(B38,country_code!A:B,2,FALSE)</f>
        <v>Ghana</v>
      </c>
      <c r="B38" t="s">
        <v>357</v>
      </c>
      <c r="C38">
        <v>18.13</v>
      </c>
    </row>
    <row r="39" spans="1:3" x14ac:dyDescent="0.35">
      <c r="A39" t="str">
        <f>VLOOKUP(B39,country_code!A:B,2,FALSE)</f>
        <v>Gambia, The</v>
      </c>
      <c r="B39" t="s">
        <v>360</v>
      </c>
      <c r="C39">
        <v>16</v>
      </c>
    </row>
    <row r="40" spans="1:3" x14ac:dyDescent="0.35">
      <c r="A40" t="str">
        <f>VLOOKUP(B40,country_code!A:B,2,FALSE)</f>
        <v>Greece</v>
      </c>
      <c r="B40" t="s">
        <v>363</v>
      </c>
      <c r="C40">
        <v>24</v>
      </c>
    </row>
    <row r="41" spans="1:3" x14ac:dyDescent="0.35">
      <c r="A41" t="str">
        <f>VLOOKUP(B41,country_code!A:B,2,FALSE)</f>
        <v>Guatemala</v>
      </c>
      <c r="B41" t="s">
        <v>366</v>
      </c>
      <c r="C41">
        <v>12</v>
      </c>
    </row>
    <row r="42" spans="1:3" x14ac:dyDescent="0.35">
      <c r="A42" t="str">
        <f>VLOOKUP(B42,country_code!A:B,2,FALSE)</f>
        <v>Croatia</v>
      </c>
      <c r="B42" t="s">
        <v>373</v>
      </c>
      <c r="C42">
        <v>25</v>
      </c>
    </row>
    <row r="43" spans="1:3" x14ac:dyDescent="0.35">
      <c r="A43" t="str">
        <f>VLOOKUP(B43,country_code!A:B,2,FALSE)</f>
        <v>Hungary</v>
      </c>
      <c r="B43" t="s">
        <v>375</v>
      </c>
      <c r="C43">
        <v>27</v>
      </c>
    </row>
    <row r="44" spans="1:3" x14ac:dyDescent="0.35">
      <c r="A44" t="str">
        <f>VLOOKUP(B44,country_code!A:B,2,FALSE)</f>
        <v>Indonesia</v>
      </c>
      <c r="B44" t="s">
        <v>380</v>
      </c>
      <c r="C44">
        <v>10</v>
      </c>
    </row>
    <row r="45" spans="1:3" x14ac:dyDescent="0.35">
      <c r="A45" t="str">
        <f>VLOOKUP(B45,country_code!A:B,2,FALSE)</f>
        <v>India</v>
      </c>
      <c r="B45" t="s">
        <v>383</v>
      </c>
      <c r="C45">
        <v>18</v>
      </c>
    </row>
    <row r="46" spans="1:3" x14ac:dyDescent="0.35">
      <c r="A46" t="str">
        <f>VLOOKUP(B46,country_code!A:B,2,FALSE)</f>
        <v>Ireland</v>
      </c>
      <c r="B46" t="s">
        <v>385</v>
      </c>
      <c r="C46">
        <v>23</v>
      </c>
    </row>
    <row r="47" spans="1:3" x14ac:dyDescent="0.35">
      <c r="A47" t="str">
        <f>VLOOKUP(B47,country_code!A:B,2,FALSE)</f>
        <v>Iceland</v>
      </c>
      <c r="B47" t="s">
        <v>388</v>
      </c>
      <c r="C47">
        <v>24</v>
      </c>
    </row>
    <row r="48" spans="1:3" x14ac:dyDescent="0.35">
      <c r="A48" t="str">
        <f>VLOOKUP(B48,country_code!A:B,2,FALSE)</f>
        <v>Israel</v>
      </c>
      <c r="B48" t="s">
        <v>389</v>
      </c>
      <c r="C48">
        <v>17</v>
      </c>
    </row>
    <row r="49" spans="1:3" x14ac:dyDescent="0.35">
      <c r="A49" t="str">
        <f>VLOOKUP(B49,country_code!A:B,2,FALSE)</f>
        <v>Italy</v>
      </c>
      <c r="B49" t="s">
        <v>390</v>
      </c>
      <c r="C49">
        <v>22</v>
      </c>
    </row>
    <row r="50" spans="1:3" x14ac:dyDescent="0.35">
      <c r="A50" t="str">
        <f>VLOOKUP(B50,country_code!A:B,2,FALSE)</f>
        <v>Jamaica</v>
      </c>
      <c r="B50" t="s">
        <v>391</v>
      </c>
      <c r="C50">
        <v>16.5</v>
      </c>
    </row>
    <row r="51" spans="1:3" x14ac:dyDescent="0.35">
      <c r="A51" t="str">
        <f>VLOOKUP(B51,country_code!A:B,2,FALSE)</f>
        <v>Jordan</v>
      </c>
      <c r="B51" t="s">
        <v>392</v>
      </c>
      <c r="C51">
        <v>16</v>
      </c>
    </row>
    <row r="52" spans="1:3" x14ac:dyDescent="0.35">
      <c r="A52" t="str">
        <f>VLOOKUP(B52,country_code!A:B,2,FALSE)</f>
        <v>Japan</v>
      </c>
      <c r="B52" t="s">
        <v>393</v>
      </c>
      <c r="C52">
        <v>8</v>
      </c>
    </row>
    <row r="53" spans="1:3" x14ac:dyDescent="0.35">
      <c r="A53" t="str">
        <f>VLOOKUP(B53,country_code!A:B,2,FALSE)</f>
        <v>Kazakhstan</v>
      </c>
      <c r="B53" t="s">
        <v>394</v>
      </c>
      <c r="C53">
        <v>12</v>
      </c>
    </row>
    <row r="54" spans="1:3" x14ac:dyDescent="0.35">
      <c r="A54" t="str">
        <f>VLOOKUP(B54,country_code!A:B,2,FALSE)</f>
        <v>Kenya</v>
      </c>
      <c r="B54" t="s">
        <v>395</v>
      </c>
      <c r="C54">
        <v>16</v>
      </c>
    </row>
    <row r="55" spans="1:3" x14ac:dyDescent="0.35">
      <c r="A55" t="str">
        <f>VLOOKUP(B55,country_code!A:B,2,FALSE)</f>
        <v>Cambodia</v>
      </c>
      <c r="B55" t="s">
        <v>397</v>
      </c>
      <c r="C55">
        <v>10</v>
      </c>
    </row>
    <row r="56" spans="1:3" x14ac:dyDescent="0.35">
      <c r="A56" t="s">
        <v>88</v>
      </c>
      <c r="B56" t="s">
        <v>400</v>
      </c>
      <c r="C56">
        <v>10</v>
      </c>
    </row>
    <row r="57" spans="1:3" x14ac:dyDescent="0.35">
      <c r="A57" t="str">
        <f>VLOOKUP(B57,country_code!A:B,2,FALSE)</f>
        <v>Lebanon</v>
      </c>
      <c r="B57" t="s">
        <v>404</v>
      </c>
      <c r="C57">
        <v>11</v>
      </c>
    </row>
    <row r="58" spans="1:3" x14ac:dyDescent="0.35">
      <c r="A58" t="str">
        <f>VLOOKUP(B58,country_code!A:B,2,FALSE)</f>
        <v>St. Lucia</v>
      </c>
      <c r="B58" t="s">
        <v>407</v>
      </c>
      <c r="C58">
        <v>12.5</v>
      </c>
    </row>
    <row r="59" spans="1:3" x14ac:dyDescent="0.35">
      <c r="A59" t="s">
        <v>94</v>
      </c>
      <c r="B59" t="s">
        <v>411</v>
      </c>
      <c r="C59">
        <v>7.7</v>
      </c>
    </row>
    <row r="60" spans="1:3" x14ac:dyDescent="0.35">
      <c r="A60" t="str">
        <f>VLOOKUP(B60,country_code!A:B,2,FALSE)</f>
        <v>Sri Lanka</v>
      </c>
      <c r="B60" t="s">
        <v>412</v>
      </c>
      <c r="C60">
        <v>15</v>
      </c>
    </row>
    <row r="61" spans="1:3" x14ac:dyDescent="0.35">
      <c r="A61" t="str">
        <f>VLOOKUP(B61,country_code!A:B,2,FALSE)</f>
        <v>Lithuania</v>
      </c>
      <c r="B61" t="s">
        <v>417</v>
      </c>
      <c r="C61">
        <v>21</v>
      </c>
    </row>
    <row r="62" spans="1:3" x14ac:dyDescent="0.35">
      <c r="A62" t="str">
        <f>VLOOKUP(B62,country_code!A:B,2,FALSE)</f>
        <v>Luxembourg</v>
      </c>
      <c r="B62" t="s">
        <v>418</v>
      </c>
      <c r="C62">
        <v>17</v>
      </c>
    </row>
    <row r="63" spans="1:3" x14ac:dyDescent="0.35">
      <c r="A63" t="str">
        <f>VLOOKUP(B63,country_code!A:B,2,FALSE)</f>
        <v>Latvia</v>
      </c>
      <c r="B63" t="s">
        <v>419</v>
      </c>
      <c r="C63">
        <v>21</v>
      </c>
    </row>
    <row r="64" spans="1:3" x14ac:dyDescent="0.35">
      <c r="A64" t="str">
        <f>VLOOKUP(B64,country_code!A:B,2,FALSE)</f>
        <v>Morocco</v>
      </c>
      <c r="B64" t="s">
        <v>422</v>
      </c>
      <c r="C64">
        <v>20</v>
      </c>
    </row>
    <row r="65" spans="1:3" x14ac:dyDescent="0.35">
      <c r="A65" t="str">
        <f>VLOOKUP(B65,country_code!A:B,2,FALSE)</f>
        <v>Mexico</v>
      </c>
      <c r="B65" t="s">
        <v>428</v>
      </c>
      <c r="C65">
        <v>16</v>
      </c>
    </row>
    <row r="66" spans="1:3" x14ac:dyDescent="0.35">
      <c r="A66" t="str">
        <f>VLOOKUP(B66,country_code!A:B,2,FALSE)</f>
        <v>North Macedonia</v>
      </c>
      <c r="B66" t="s">
        <v>431</v>
      </c>
      <c r="C66">
        <v>18</v>
      </c>
    </row>
    <row r="67" spans="1:3" x14ac:dyDescent="0.35">
      <c r="A67" t="str">
        <f>VLOOKUP(B67,country_code!A:B,2,FALSE)</f>
        <v>Malta</v>
      </c>
      <c r="B67" t="s">
        <v>433</v>
      </c>
      <c r="C67">
        <v>18</v>
      </c>
    </row>
    <row r="68" spans="1:3" x14ac:dyDescent="0.35">
      <c r="A68" t="str">
        <f>VLOOKUP(B68,country_code!A:B,2,FALSE)</f>
        <v>Montenegro</v>
      </c>
      <c r="B68" t="s">
        <v>436</v>
      </c>
      <c r="C68">
        <v>21</v>
      </c>
    </row>
    <row r="69" spans="1:3" x14ac:dyDescent="0.35">
      <c r="A69" t="str">
        <f>VLOOKUP(B69,country_code!A:B,2,FALSE)</f>
        <v>Mongolia</v>
      </c>
      <c r="B69" t="s">
        <v>437</v>
      </c>
      <c r="C69">
        <v>10</v>
      </c>
    </row>
    <row r="70" spans="1:3" x14ac:dyDescent="0.35">
      <c r="A70" t="str">
        <f>VLOOKUP(B70,country_code!A:B,2,FALSE)</f>
        <v>Mozambique</v>
      </c>
      <c r="B70" t="s">
        <v>439</v>
      </c>
      <c r="C70">
        <v>17</v>
      </c>
    </row>
    <row r="71" spans="1:3" x14ac:dyDescent="0.35">
      <c r="A71" t="str">
        <f>VLOOKUP(B71,country_code!A:B,2,FALSE)</f>
        <v>Mauritius</v>
      </c>
      <c r="B71" t="s">
        <v>441</v>
      </c>
      <c r="C71">
        <v>15</v>
      </c>
    </row>
    <row r="72" spans="1:3" x14ac:dyDescent="0.35">
      <c r="A72" t="str">
        <f>VLOOKUP(B72,country_code!A:B,2,FALSE)</f>
        <v>Malawi</v>
      </c>
      <c r="B72" t="s">
        <v>442</v>
      </c>
      <c r="C72">
        <v>16.5</v>
      </c>
    </row>
    <row r="73" spans="1:3" x14ac:dyDescent="0.35">
      <c r="A73" t="str">
        <f>VLOOKUP(B73,country_code!A:B,2,FALSE)</f>
        <v>Namibia</v>
      </c>
      <c r="B73" t="s">
        <v>445</v>
      </c>
      <c r="C73">
        <v>15</v>
      </c>
    </row>
    <row r="74" spans="1:3" x14ac:dyDescent="0.35">
      <c r="A74" t="str">
        <f>VLOOKUP(B74,country_code!A:B,2,FALSE)</f>
        <v>Nigeria</v>
      </c>
      <c r="B74" t="s">
        <v>448</v>
      </c>
      <c r="C74">
        <v>5</v>
      </c>
    </row>
    <row r="75" spans="1:3" x14ac:dyDescent="0.35">
      <c r="A75" t="str">
        <f>VLOOKUP(B75,country_code!A:B,2,FALSE)</f>
        <v>Nicaragua</v>
      </c>
      <c r="B75" t="s">
        <v>449</v>
      </c>
      <c r="C75">
        <v>15</v>
      </c>
    </row>
    <row r="76" spans="1:3" x14ac:dyDescent="0.35">
      <c r="A76" t="str">
        <f>VLOOKUP(B76,country_code!A:B,2,FALSE)</f>
        <v>Netherlands</v>
      </c>
      <c r="B76" t="s">
        <v>450</v>
      </c>
      <c r="C76">
        <v>21</v>
      </c>
    </row>
    <row r="77" spans="1:3" x14ac:dyDescent="0.35">
      <c r="A77" t="str">
        <f>VLOOKUP(B77,country_code!A:B,2,FALSE)</f>
        <v>Norway</v>
      </c>
      <c r="B77" t="s">
        <v>451</v>
      </c>
      <c r="C77">
        <v>25</v>
      </c>
    </row>
    <row r="78" spans="1:3" x14ac:dyDescent="0.35">
      <c r="A78" t="str">
        <f>VLOOKUP(B78,country_code!A:B,2,FALSE)</f>
        <v>New Zealand</v>
      </c>
      <c r="B78" t="s">
        <v>454</v>
      </c>
      <c r="C78">
        <v>15</v>
      </c>
    </row>
    <row r="79" spans="1:3" x14ac:dyDescent="0.35">
      <c r="A79" t="str">
        <f>VLOOKUP(B79,country_code!A:B,2,FALSE)</f>
        <v>Pakistan</v>
      </c>
      <c r="B79" t="s">
        <v>458</v>
      </c>
      <c r="C79">
        <v>17</v>
      </c>
    </row>
    <row r="80" spans="1:3" x14ac:dyDescent="0.35">
      <c r="A80" t="str">
        <f>VLOOKUP(B80,country_code!A:B,2,FALSE)</f>
        <v>Peru</v>
      </c>
      <c r="B80" t="s">
        <v>460</v>
      </c>
      <c r="C80">
        <v>18</v>
      </c>
    </row>
    <row r="81" spans="1:3" x14ac:dyDescent="0.35">
      <c r="A81" t="str">
        <f>VLOOKUP(B81,country_code!A:B,2,FALSE)</f>
        <v>Philippines</v>
      </c>
      <c r="B81" t="s">
        <v>461</v>
      </c>
      <c r="C81">
        <v>12</v>
      </c>
    </row>
    <row r="82" spans="1:3" x14ac:dyDescent="0.35">
      <c r="A82" t="str">
        <f>VLOOKUP(B82,country_code!A:B,2,FALSE)</f>
        <v>Poland</v>
      </c>
      <c r="B82" t="s">
        <v>464</v>
      </c>
      <c r="C82">
        <v>23</v>
      </c>
    </row>
    <row r="83" spans="1:3" x14ac:dyDescent="0.35">
      <c r="A83" t="str">
        <f>VLOOKUP(B83,country_code!A:B,2,FALSE)</f>
        <v>Portugal</v>
      </c>
      <c r="B83" t="s">
        <v>468</v>
      </c>
      <c r="C83">
        <v>23</v>
      </c>
    </row>
    <row r="84" spans="1:3" x14ac:dyDescent="0.35">
      <c r="A84" t="str">
        <f>VLOOKUP(B84,country_code!A:B,2,FALSE)</f>
        <v>Paraguay</v>
      </c>
      <c r="B84" t="s">
        <v>469</v>
      </c>
      <c r="C84">
        <v>10</v>
      </c>
    </row>
    <row r="85" spans="1:3" x14ac:dyDescent="0.35">
      <c r="A85" t="str">
        <f>VLOOKUP(B85,country_code!A:B,2,FALSE)</f>
        <v>Romania</v>
      </c>
      <c r="B85" t="s">
        <v>475</v>
      </c>
      <c r="C85">
        <v>19</v>
      </c>
    </row>
    <row r="86" spans="1:3" x14ac:dyDescent="0.35">
      <c r="A86" t="str">
        <f>VLOOKUP(B86,country_code!A:B,2,FALSE)</f>
        <v>Russian Federation</v>
      </c>
      <c r="B86" t="s">
        <v>476</v>
      </c>
      <c r="C86">
        <v>20</v>
      </c>
    </row>
    <row r="87" spans="1:3" x14ac:dyDescent="0.35">
      <c r="A87" t="str">
        <f>VLOOKUP(B87,country_code!A:B,2,FALSE)</f>
        <v>Senegal</v>
      </c>
      <c r="B87" t="s">
        <v>481</v>
      </c>
      <c r="C87">
        <v>18</v>
      </c>
    </row>
    <row r="88" spans="1:3" x14ac:dyDescent="0.35">
      <c r="A88" t="str">
        <f>VLOOKUP(B88,country_code!A:B,2,FALSE)</f>
        <v>Singapore</v>
      </c>
      <c r="B88" t="s">
        <v>482</v>
      </c>
      <c r="C88">
        <v>7.0000000000000009</v>
      </c>
    </row>
    <row r="89" spans="1:3" x14ac:dyDescent="0.35">
      <c r="A89" t="str">
        <f>VLOOKUP(B89,country_code!A:B,2,FALSE)</f>
        <v>Sierra Leone</v>
      </c>
      <c r="B89" t="s">
        <v>484</v>
      </c>
      <c r="C89">
        <v>15</v>
      </c>
    </row>
    <row r="90" spans="1:3" x14ac:dyDescent="0.35">
      <c r="A90" t="str">
        <f>VLOOKUP(B90,country_code!A:B,2,FALSE)</f>
        <v>El Salvador</v>
      </c>
      <c r="B90" t="s">
        <v>485</v>
      </c>
      <c r="C90">
        <v>13</v>
      </c>
    </row>
    <row r="91" spans="1:3" x14ac:dyDescent="0.35">
      <c r="A91" t="str">
        <f>VLOOKUP(B91,country_code!A:B,2,FALSE)</f>
        <v>Slovak Republic</v>
      </c>
      <c r="B91" t="s">
        <v>495</v>
      </c>
      <c r="C91">
        <v>20</v>
      </c>
    </row>
    <row r="92" spans="1:3" x14ac:dyDescent="0.35">
      <c r="A92" t="str">
        <f>VLOOKUP(B92,country_code!A:B,2,FALSE)</f>
        <v>Slovenia</v>
      </c>
      <c r="B92" t="s">
        <v>496</v>
      </c>
      <c r="C92">
        <v>22</v>
      </c>
    </row>
    <row r="93" spans="1:3" x14ac:dyDescent="0.35">
      <c r="A93" t="str">
        <f>VLOOKUP(B93,country_code!A:B,2,FALSE)</f>
        <v>Sweden</v>
      </c>
      <c r="B93" t="s">
        <v>497</v>
      </c>
      <c r="C93">
        <v>25</v>
      </c>
    </row>
    <row r="94" spans="1:3" x14ac:dyDescent="0.35">
      <c r="A94" t="str">
        <f>VLOOKUP(B94,country_code!A:B,2,FALSE)</f>
        <v>Eswatini</v>
      </c>
      <c r="B94" t="s">
        <v>498</v>
      </c>
      <c r="C94">
        <v>15</v>
      </c>
    </row>
    <row r="95" spans="1:3" x14ac:dyDescent="0.35">
      <c r="A95" t="str">
        <f>VLOOKUP(B95,country_code!A:B,2,FALSE)</f>
        <v>Thailand</v>
      </c>
      <c r="B95" t="s">
        <v>507</v>
      </c>
      <c r="C95">
        <v>7.0000000000000009</v>
      </c>
    </row>
    <row r="96" spans="1:3" x14ac:dyDescent="0.35">
      <c r="A96" t="str">
        <f>VLOOKUP(B96,country_code!A:B,2,FALSE)</f>
        <v>Tunisia</v>
      </c>
      <c r="B96" t="s">
        <v>517</v>
      </c>
      <c r="C96">
        <v>19</v>
      </c>
    </row>
    <row r="97" spans="1:3" x14ac:dyDescent="0.35">
      <c r="A97" t="s">
        <v>166</v>
      </c>
      <c r="B97" t="s">
        <v>518</v>
      </c>
      <c r="C97">
        <v>18</v>
      </c>
    </row>
    <row r="98" spans="1:3" x14ac:dyDescent="0.35">
      <c r="A98" t="str">
        <f>VLOOKUP(B98,country_code!A:B,2,FALSE)</f>
        <v>Uganda</v>
      </c>
      <c r="B98" t="s">
        <v>521</v>
      </c>
      <c r="C98">
        <v>18</v>
      </c>
    </row>
    <row r="99" spans="1:3" x14ac:dyDescent="0.35">
      <c r="A99" t="str">
        <f>VLOOKUP(B99,country_code!A:B,2,FALSE)</f>
        <v>Ukraine</v>
      </c>
      <c r="B99" t="s">
        <v>522</v>
      </c>
      <c r="C99">
        <v>20</v>
      </c>
    </row>
    <row r="100" spans="1:3" x14ac:dyDescent="0.35">
      <c r="A100" t="str">
        <f>VLOOKUP(B100,country_code!A:B,2,FALSE)</f>
        <v>Uruguay</v>
      </c>
      <c r="B100" t="s">
        <v>524</v>
      </c>
      <c r="C100">
        <v>22</v>
      </c>
    </row>
    <row r="101" spans="1:3" x14ac:dyDescent="0.35">
      <c r="A101" t="str">
        <f>VLOOKUP(B101,country_code!A:B,2,FALSE)</f>
        <v>Vietnam</v>
      </c>
      <c r="B101" t="s">
        <v>531</v>
      </c>
      <c r="C101">
        <v>10</v>
      </c>
    </row>
    <row r="102" spans="1:3" x14ac:dyDescent="0.35">
      <c r="A102" t="str">
        <f>VLOOKUP(B102,country_code!A:B,2,FALSE)</f>
        <v>Vanuatu</v>
      </c>
      <c r="B102" t="s">
        <v>532</v>
      </c>
      <c r="C102">
        <v>15</v>
      </c>
    </row>
    <row r="103" spans="1:3" x14ac:dyDescent="0.35">
      <c r="A103" t="s">
        <v>177</v>
      </c>
      <c r="B103" t="s">
        <v>534</v>
      </c>
      <c r="C103">
        <v>15</v>
      </c>
    </row>
    <row r="104" spans="1:3" x14ac:dyDescent="0.35">
      <c r="A104" t="str">
        <f>VLOOKUP(B104,country_code!A:B,2,FALSE)</f>
        <v>South Africa</v>
      </c>
      <c r="B104" t="s">
        <v>537</v>
      </c>
      <c r="C104">
        <v>15</v>
      </c>
    </row>
    <row r="105" spans="1:3" x14ac:dyDescent="0.35">
      <c r="A105" t="str">
        <f>VLOOKUP(B105,country_code!A:B,2,FALSE)</f>
        <v>Zambia</v>
      </c>
      <c r="B105" t="s">
        <v>538</v>
      </c>
      <c r="C105">
        <v>16</v>
      </c>
    </row>
    <row r="106" spans="1:3" x14ac:dyDescent="0.35">
      <c r="A106" t="str">
        <f>VLOOKUP(B106,country_code!A:B,2,FALSE)</f>
        <v>Zimbabwe</v>
      </c>
      <c r="B106" t="s">
        <v>539</v>
      </c>
      <c r="C106">
        <v>15</v>
      </c>
    </row>
  </sheetData>
  <autoFilter ref="A1:C1" xr:uid="{C9763149-B783-4175-9987-8BB4F1FFEC3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F140-3DEE-452A-BEFE-C50997702681}">
  <dimension ref="A1:J217"/>
  <sheetViews>
    <sheetView workbookViewId="0">
      <selection activeCell="B2" sqref="B2"/>
    </sheetView>
  </sheetViews>
  <sheetFormatPr defaultRowHeight="14.5" x14ac:dyDescent="0.35"/>
  <cols>
    <col min="1" max="1" width="14.453125" customWidth="1"/>
    <col min="2" max="2" width="26.26953125" bestFit="1" customWidth="1"/>
    <col min="3" max="3" width="14.453125" customWidth="1"/>
    <col min="5" max="5" width="26.1796875" bestFit="1" customWidth="1"/>
    <col min="6" max="6" width="19.1796875" bestFit="1" customWidth="1"/>
  </cols>
  <sheetData>
    <row r="1" spans="1:10" x14ac:dyDescent="0.35">
      <c r="A1" t="s">
        <v>541</v>
      </c>
      <c r="B1" t="s">
        <v>542</v>
      </c>
      <c r="C1" t="s">
        <v>541</v>
      </c>
      <c r="D1" t="s">
        <v>543</v>
      </c>
      <c r="E1" t="s">
        <v>544</v>
      </c>
      <c r="F1" t="s">
        <v>545</v>
      </c>
      <c r="G1" t="s">
        <v>546</v>
      </c>
      <c r="H1" t="s">
        <v>547</v>
      </c>
      <c r="I1" t="s">
        <v>548</v>
      </c>
      <c r="J1" t="s">
        <v>549</v>
      </c>
    </row>
    <row r="2" spans="1:10" x14ac:dyDescent="0.35">
      <c r="A2" t="s">
        <v>276</v>
      </c>
      <c r="B2" t="s">
        <v>2</v>
      </c>
      <c r="C2" t="s">
        <v>276</v>
      </c>
      <c r="D2" t="s">
        <v>550</v>
      </c>
      <c r="E2" t="s">
        <v>252</v>
      </c>
      <c r="F2" t="s">
        <v>551</v>
      </c>
      <c r="G2" t="s">
        <v>552</v>
      </c>
      <c r="H2" t="s">
        <v>552</v>
      </c>
      <c r="I2" t="s">
        <v>552</v>
      </c>
      <c r="J2" t="s">
        <v>552</v>
      </c>
    </row>
    <row r="3" spans="1:10" x14ac:dyDescent="0.35">
      <c r="A3" t="s">
        <v>279</v>
      </c>
      <c r="B3" t="s">
        <v>5</v>
      </c>
      <c r="C3" t="s">
        <v>279</v>
      </c>
      <c r="D3" t="s">
        <v>338</v>
      </c>
      <c r="E3" t="s">
        <v>553</v>
      </c>
      <c r="F3" t="s">
        <v>554</v>
      </c>
      <c r="G3" t="s">
        <v>552</v>
      </c>
      <c r="H3" t="s">
        <v>552</v>
      </c>
      <c r="I3" t="s">
        <v>552</v>
      </c>
      <c r="J3" t="s">
        <v>552</v>
      </c>
    </row>
    <row r="4" spans="1:10" x14ac:dyDescent="0.35">
      <c r="A4" t="s">
        <v>334</v>
      </c>
      <c r="B4" t="s">
        <v>49</v>
      </c>
      <c r="C4" t="s">
        <v>334</v>
      </c>
      <c r="D4" t="s">
        <v>555</v>
      </c>
      <c r="E4" t="s">
        <v>238</v>
      </c>
      <c r="F4" t="s">
        <v>554</v>
      </c>
      <c r="G4" t="s">
        <v>556</v>
      </c>
      <c r="H4" t="s">
        <v>556</v>
      </c>
      <c r="I4" t="s">
        <v>552</v>
      </c>
      <c r="J4" t="s">
        <v>552</v>
      </c>
    </row>
    <row r="5" spans="1:10" x14ac:dyDescent="0.35">
      <c r="A5" t="s">
        <v>285</v>
      </c>
      <c r="B5" t="s">
        <v>187</v>
      </c>
      <c r="C5" t="s">
        <v>285</v>
      </c>
      <c r="D5" t="s">
        <v>335</v>
      </c>
      <c r="E5" t="s">
        <v>199</v>
      </c>
      <c r="F5" t="s">
        <v>554</v>
      </c>
      <c r="G5" t="s">
        <v>552</v>
      </c>
      <c r="H5" t="s">
        <v>552</v>
      </c>
      <c r="I5" t="s">
        <v>552</v>
      </c>
      <c r="J5" t="s">
        <v>552</v>
      </c>
    </row>
    <row r="6" spans="1:10" x14ac:dyDescent="0.35">
      <c r="A6" t="s">
        <v>557</v>
      </c>
      <c r="B6" t="s">
        <v>185</v>
      </c>
      <c r="C6" t="s">
        <v>557</v>
      </c>
      <c r="D6" t="s">
        <v>558</v>
      </c>
      <c r="E6" t="s">
        <v>559</v>
      </c>
      <c r="F6" t="s">
        <v>560</v>
      </c>
      <c r="G6" t="s">
        <v>552</v>
      </c>
      <c r="H6" t="s">
        <v>552</v>
      </c>
      <c r="I6" t="s">
        <v>552</v>
      </c>
      <c r="J6" t="s">
        <v>552</v>
      </c>
    </row>
    <row r="7" spans="1:10" x14ac:dyDescent="0.35">
      <c r="A7" t="s">
        <v>278</v>
      </c>
      <c r="B7" t="s">
        <v>3</v>
      </c>
      <c r="C7" t="s">
        <v>278</v>
      </c>
      <c r="D7" t="s">
        <v>489</v>
      </c>
      <c r="E7" t="s">
        <v>254</v>
      </c>
      <c r="F7" t="s">
        <v>554</v>
      </c>
      <c r="G7" t="s">
        <v>556</v>
      </c>
      <c r="H7" t="s">
        <v>556</v>
      </c>
      <c r="I7" t="s">
        <v>552</v>
      </c>
      <c r="J7" t="s">
        <v>552</v>
      </c>
    </row>
    <row r="8" spans="1:10" x14ac:dyDescent="0.35">
      <c r="A8" t="s">
        <v>561</v>
      </c>
      <c r="B8" t="s">
        <v>4</v>
      </c>
      <c r="C8" t="s">
        <v>561</v>
      </c>
      <c r="D8" t="s">
        <v>402</v>
      </c>
      <c r="E8" t="s">
        <v>562</v>
      </c>
      <c r="F8" t="s">
        <v>560</v>
      </c>
      <c r="G8" t="s">
        <v>552</v>
      </c>
      <c r="H8" t="s">
        <v>552</v>
      </c>
      <c r="I8" t="s">
        <v>556</v>
      </c>
      <c r="J8" t="s">
        <v>556</v>
      </c>
    </row>
    <row r="9" spans="1:10" x14ac:dyDescent="0.35">
      <c r="A9" t="s">
        <v>286</v>
      </c>
      <c r="B9" t="s">
        <v>9</v>
      </c>
      <c r="C9" t="s">
        <v>286</v>
      </c>
      <c r="D9" t="s">
        <v>402</v>
      </c>
      <c r="E9" t="s">
        <v>562</v>
      </c>
      <c r="F9" t="s">
        <v>560</v>
      </c>
      <c r="G9" t="s">
        <v>552</v>
      </c>
      <c r="H9" t="s">
        <v>552</v>
      </c>
      <c r="I9" t="s">
        <v>556</v>
      </c>
      <c r="J9" t="s">
        <v>556</v>
      </c>
    </row>
    <row r="10" spans="1:10" x14ac:dyDescent="0.35">
      <c r="A10" t="s">
        <v>283</v>
      </c>
      <c r="B10" t="s">
        <v>7</v>
      </c>
      <c r="C10" t="s">
        <v>283</v>
      </c>
      <c r="D10" t="s">
        <v>402</v>
      </c>
      <c r="E10" t="s">
        <v>562</v>
      </c>
      <c r="F10" t="s">
        <v>554</v>
      </c>
      <c r="G10" t="s">
        <v>556</v>
      </c>
      <c r="H10" t="s">
        <v>556</v>
      </c>
      <c r="I10" t="s">
        <v>552</v>
      </c>
      <c r="J10" t="s">
        <v>552</v>
      </c>
    </row>
    <row r="11" spans="1:10" x14ac:dyDescent="0.35">
      <c r="A11" t="s">
        <v>284</v>
      </c>
      <c r="B11" t="s">
        <v>8</v>
      </c>
      <c r="C11" t="s">
        <v>284</v>
      </c>
      <c r="D11" t="s">
        <v>338</v>
      </c>
      <c r="E11" t="s">
        <v>553</v>
      </c>
      <c r="F11" t="s">
        <v>563</v>
      </c>
      <c r="G11" t="s">
        <v>552</v>
      </c>
      <c r="H11" t="s">
        <v>552</v>
      </c>
      <c r="I11" t="s">
        <v>552</v>
      </c>
      <c r="J11" t="s">
        <v>552</v>
      </c>
    </row>
    <row r="12" spans="1:10" x14ac:dyDescent="0.35">
      <c r="A12" t="s">
        <v>274</v>
      </c>
      <c r="B12" t="s">
        <v>1</v>
      </c>
      <c r="C12" t="s">
        <v>274</v>
      </c>
      <c r="D12" t="s">
        <v>402</v>
      </c>
      <c r="E12" t="s">
        <v>562</v>
      </c>
      <c r="F12" t="s">
        <v>560</v>
      </c>
      <c r="G12" t="s">
        <v>552</v>
      </c>
      <c r="H12" t="s">
        <v>552</v>
      </c>
      <c r="I12" t="s">
        <v>552</v>
      </c>
      <c r="J12" t="s">
        <v>552</v>
      </c>
    </row>
    <row r="13" spans="1:10" x14ac:dyDescent="0.35">
      <c r="A13" t="s">
        <v>287</v>
      </c>
      <c r="B13" t="s">
        <v>10</v>
      </c>
      <c r="C13" t="s">
        <v>287</v>
      </c>
      <c r="D13" t="s">
        <v>335</v>
      </c>
      <c r="E13" t="s">
        <v>199</v>
      </c>
      <c r="F13" t="s">
        <v>560</v>
      </c>
      <c r="G13" t="s">
        <v>556</v>
      </c>
      <c r="H13" t="s">
        <v>552</v>
      </c>
      <c r="I13" t="s">
        <v>552</v>
      </c>
      <c r="J13" t="s">
        <v>552</v>
      </c>
    </row>
    <row r="14" spans="1:10" x14ac:dyDescent="0.35">
      <c r="A14" t="s">
        <v>288</v>
      </c>
      <c r="B14" t="s">
        <v>11</v>
      </c>
      <c r="C14" t="s">
        <v>288</v>
      </c>
      <c r="D14" t="s">
        <v>558</v>
      </c>
      <c r="E14" t="s">
        <v>559</v>
      </c>
      <c r="F14" t="s">
        <v>560</v>
      </c>
      <c r="G14" t="s">
        <v>552</v>
      </c>
      <c r="H14" t="s">
        <v>552</v>
      </c>
      <c r="I14" t="s">
        <v>552</v>
      </c>
      <c r="J14" t="s">
        <v>552</v>
      </c>
    </row>
    <row r="15" spans="1:10" x14ac:dyDescent="0.35">
      <c r="A15" t="s">
        <v>289</v>
      </c>
      <c r="B15" t="s">
        <v>12</v>
      </c>
      <c r="C15" t="s">
        <v>289</v>
      </c>
      <c r="D15" t="s">
        <v>338</v>
      </c>
      <c r="E15" t="s">
        <v>553</v>
      </c>
      <c r="F15" t="s">
        <v>554</v>
      </c>
      <c r="G15" t="s">
        <v>556</v>
      </c>
      <c r="H15" t="s">
        <v>556</v>
      </c>
      <c r="I15" t="s">
        <v>552</v>
      </c>
      <c r="J15" t="s">
        <v>552</v>
      </c>
    </row>
    <row r="16" spans="1:10" x14ac:dyDescent="0.35">
      <c r="A16" t="s">
        <v>297</v>
      </c>
      <c r="B16" t="s">
        <v>20</v>
      </c>
      <c r="C16" t="s">
        <v>297</v>
      </c>
      <c r="D16" t="s">
        <v>402</v>
      </c>
      <c r="E16" t="s">
        <v>562</v>
      </c>
      <c r="F16" t="s">
        <v>560</v>
      </c>
      <c r="G16" t="s">
        <v>552</v>
      </c>
      <c r="H16" t="s">
        <v>552</v>
      </c>
      <c r="I16" t="s">
        <v>556</v>
      </c>
      <c r="J16" t="s">
        <v>556</v>
      </c>
    </row>
    <row r="17" spans="1:10" x14ac:dyDescent="0.35">
      <c r="A17" t="s">
        <v>296</v>
      </c>
      <c r="B17" t="s">
        <v>19</v>
      </c>
      <c r="C17" t="s">
        <v>296</v>
      </c>
      <c r="D17" t="s">
        <v>555</v>
      </c>
      <c r="E17" t="s">
        <v>238</v>
      </c>
      <c r="F17" t="s">
        <v>560</v>
      </c>
      <c r="G17" t="s">
        <v>556</v>
      </c>
      <c r="H17" t="s">
        <v>556</v>
      </c>
      <c r="I17" t="s">
        <v>556</v>
      </c>
      <c r="J17" t="s">
        <v>556</v>
      </c>
    </row>
    <row r="18" spans="1:10" x14ac:dyDescent="0.35">
      <c r="A18" t="s">
        <v>294</v>
      </c>
      <c r="B18" t="s">
        <v>17</v>
      </c>
      <c r="C18" t="s">
        <v>294</v>
      </c>
      <c r="D18" t="s">
        <v>550</v>
      </c>
      <c r="E18" t="s">
        <v>252</v>
      </c>
      <c r="F18" t="s">
        <v>563</v>
      </c>
      <c r="G18" t="s">
        <v>552</v>
      </c>
      <c r="H18" t="s">
        <v>552</v>
      </c>
      <c r="I18" t="s">
        <v>552</v>
      </c>
      <c r="J18" t="s">
        <v>552</v>
      </c>
    </row>
    <row r="19" spans="1:10" x14ac:dyDescent="0.35">
      <c r="A19" t="s">
        <v>304</v>
      </c>
      <c r="B19" t="s">
        <v>26</v>
      </c>
      <c r="C19" t="s">
        <v>304</v>
      </c>
      <c r="D19" t="s">
        <v>402</v>
      </c>
      <c r="E19" t="s">
        <v>562</v>
      </c>
      <c r="F19" t="s">
        <v>560</v>
      </c>
      <c r="G19" t="s">
        <v>552</v>
      </c>
      <c r="H19" t="s">
        <v>552</v>
      </c>
      <c r="I19" t="s">
        <v>556</v>
      </c>
      <c r="J19" t="s">
        <v>556</v>
      </c>
    </row>
    <row r="20" spans="1:10" x14ac:dyDescent="0.35">
      <c r="A20" t="s">
        <v>299</v>
      </c>
      <c r="B20" t="s">
        <v>22</v>
      </c>
      <c r="C20" t="s">
        <v>299</v>
      </c>
      <c r="D20" t="s">
        <v>338</v>
      </c>
      <c r="E20" t="s">
        <v>553</v>
      </c>
      <c r="F20" t="s">
        <v>554</v>
      </c>
      <c r="G20" t="s">
        <v>552</v>
      </c>
      <c r="H20" t="s">
        <v>552</v>
      </c>
      <c r="I20" t="s">
        <v>552</v>
      </c>
      <c r="J20" t="s">
        <v>552</v>
      </c>
    </row>
    <row r="21" spans="1:10" x14ac:dyDescent="0.35">
      <c r="A21" t="s">
        <v>291</v>
      </c>
      <c r="B21" t="s">
        <v>14</v>
      </c>
      <c r="C21" t="s">
        <v>291</v>
      </c>
      <c r="D21" t="s">
        <v>558</v>
      </c>
      <c r="E21" t="s">
        <v>559</v>
      </c>
      <c r="F21" t="s">
        <v>560</v>
      </c>
      <c r="G21" t="s">
        <v>552</v>
      </c>
      <c r="H21" t="s">
        <v>552</v>
      </c>
      <c r="I21" t="s">
        <v>552</v>
      </c>
      <c r="J21" t="s">
        <v>552</v>
      </c>
    </row>
    <row r="22" spans="1:10" x14ac:dyDescent="0.35">
      <c r="A22" t="s">
        <v>300</v>
      </c>
      <c r="B22" t="s">
        <v>23</v>
      </c>
      <c r="C22" t="s">
        <v>300</v>
      </c>
      <c r="D22" t="s">
        <v>402</v>
      </c>
      <c r="E22" t="s">
        <v>562</v>
      </c>
      <c r="F22" t="s">
        <v>554</v>
      </c>
      <c r="G22" t="s">
        <v>552</v>
      </c>
      <c r="H22" t="s">
        <v>552</v>
      </c>
      <c r="I22" t="s">
        <v>556</v>
      </c>
      <c r="J22" t="s">
        <v>552</v>
      </c>
    </row>
    <row r="23" spans="1:10" x14ac:dyDescent="0.35">
      <c r="A23" t="s">
        <v>292</v>
      </c>
      <c r="B23" t="s">
        <v>15</v>
      </c>
      <c r="C23" t="s">
        <v>292</v>
      </c>
      <c r="D23" t="s">
        <v>489</v>
      </c>
      <c r="E23" t="s">
        <v>254</v>
      </c>
      <c r="F23" t="s">
        <v>551</v>
      </c>
      <c r="G23" t="s">
        <v>552</v>
      </c>
      <c r="H23" t="s">
        <v>552</v>
      </c>
      <c r="I23" t="s">
        <v>552</v>
      </c>
      <c r="J23" t="s">
        <v>552</v>
      </c>
    </row>
    <row r="24" spans="1:10" x14ac:dyDescent="0.35">
      <c r="A24" t="s">
        <v>301</v>
      </c>
      <c r="B24" t="s">
        <v>188</v>
      </c>
      <c r="C24" t="s">
        <v>301</v>
      </c>
      <c r="D24" t="s">
        <v>402</v>
      </c>
      <c r="E24" t="s">
        <v>562</v>
      </c>
      <c r="F24" t="s">
        <v>560</v>
      </c>
      <c r="G24" t="s">
        <v>552</v>
      </c>
      <c r="H24" t="s">
        <v>552</v>
      </c>
      <c r="I24" t="s">
        <v>552</v>
      </c>
      <c r="J24" t="s">
        <v>552</v>
      </c>
    </row>
    <row r="25" spans="1:10" x14ac:dyDescent="0.35">
      <c r="A25" t="s">
        <v>306</v>
      </c>
      <c r="B25" t="s">
        <v>28</v>
      </c>
      <c r="C25" t="s">
        <v>306</v>
      </c>
      <c r="D25" t="s">
        <v>550</v>
      </c>
      <c r="E25" t="s">
        <v>252</v>
      </c>
      <c r="F25" t="s">
        <v>563</v>
      </c>
      <c r="G25" t="s">
        <v>552</v>
      </c>
      <c r="H25" t="s">
        <v>552</v>
      </c>
      <c r="I25" t="s">
        <v>556</v>
      </c>
      <c r="J25" t="s">
        <v>552</v>
      </c>
    </row>
    <row r="26" spans="1:10" x14ac:dyDescent="0.35">
      <c r="A26" t="s">
        <v>302</v>
      </c>
      <c r="B26" t="s">
        <v>24</v>
      </c>
      <c r="C26" t="s">
        <v>302</v>
      </c>
      <c r="D26" t="s">
        <v>402</v>
      </c>
      <c r="E26" t="s">
        <v>562</v>
      </c>
      <c r="F26" t="s">
        <v>563</v>
      </c>
      <c r="G26" t="s">
        <v>556</v>
      </c>
      <c r="H26" t="s">
        <v>556</v>
      </c>
      <c r="I26" t="s">
        <v>552</v>
      </c>
      <c r="J26" t="s">
        <v>552</v>
      </c>
    </row>
    <row r="27" spans="1:10" x14ac:dyDescent="0.35">
      <c r="A27" t="s">
        <v>298</v>
      </c>
      <c r="B27" t="s">
        <v>21</v>
      </c>
      <c r="C27" t="s">
        <v>298</v>
      </c>
      <c r="D27" t="s">
        <v>338</v>
      </c>
      <c r="E27" t="s">
        <v>553</v>
      </c>
      <c r="F27" t="s">
        <v>554</v>
      </c>
      <c r="G27" t="s">
        <v>552</v>
      </c>
      <c r="H27" t="s">
        <v>552</v>
      </c>
      <c r="I27" t="s">
        <v>552</v>
      </c>
      <c r="J27" t="s">
        <v>552</v>
      </c>
    </row>
    <row r="28" spans="1:10" x14ac:dyDescent="0.35">
      <c r="A28" t="s">
        <v>307</v>
      </c>
      <c r="B28" t="s">
        <v>29</v>
      </c>
      <c r="C28" t="s">
        <v>307</v>
      </c>
      <c r="D28" t="s">
        <v>489</v>
      </c>
      <c r="E28" t="s">
        <v>254</v>
      </c>
      <c r="F28" t="s">
        <v>554</v>
      </c>
      <c r="G28" t="s">
        <v>556</v>
      </c>
      <c r="H28" t="s">
        <v>552</v>
      </c>
      <c r="I28" t="s">
        <v>556</v>
      </c>
      <c r="J28" t="s">
        <v>552</v>
      </c>
    </row>
    <row r="29" spans="1:10" x14ac:dyDescent="0.35">
      <c r="A29" t="s">
        <v>303</v>
      </c>
      <c r="B29" t="s">
        <v>25</v>
      </c>
      <c r="C29" t="s">
        <v>303</v>
      </c>
      <c r="D29" t="s">
        <v>402</v>
      </c>
      <c r="E29" t="s">
        <v>562</v>
      </c>
      <c r="F29" t="s">
        <v>554</v>
      </c>
      <c r="G29" t="s">
        <v>552</v>
      </c>
      <c r="H29" t="s">
        <v>552</v>
      </c>
      <c r="I29" t="s">
        <v>552</v>
      </c>
      <c r="J29" t="s">
        <v>552</v>
      </c>
    </row>
    <row r="30" spans="1:10" x14ac:dyDescent="0.35">
      <c r="A30" t="s">
        <v>305</v>
      </c>
      <c r="B30" t="s">
        <v>27</v>
      </c>
      <c r="C30" t="s">
        <v>305</v>
      </c>
      <c r="D30" t="s">
        <v>335</v>
      </c>
      <c r="E30" t="s">
        <v>199</v>
      </c>
      <c r="F30" t="s">
        <v>560</v>
      </c>
      <c r="G30" t="s">
        <v>556</v>
      </c>
      <c r="H30" t="s">
        <v>556</v>
      </c>
      <c r="I30" t="s">
        <v>556</v>
      </c>
      <c r="J30" t="s">
        <v>552</v>
      </c>
    </row>
    <row r="31" spans="1:10" x14ac:dyDescent="0.35">
      <c r="A31" t="s">
        <v>295</v>
      </c>
      <c r="B31" t="s">
        <v>18</v>
      </c>
      <c r="C31" t="s">
        <v>295</v>
      </c>
      <c r="D31" t="s">
        <v>338</v>
      </c>
      <c r="E31" t="s">
        <v>553</v>
      </c>
      <c r="F31" t="s">
        <v>554</v>
      </c>
      <c r="G31" t="s">
        <v>552</v>
      </c>
      <c r="H31" t="s">
        <v>552</v>
      </c>
      <c r="I31" t="s">
        <v>552</v>
      </c>
      <c r="J31" t="s">
        <v>552</v>
      </c>
    </row>
    <row r="32" spans="1:10" x14ac:dyDescent="0.35">
      <c r="A32" t="s">
        <v>293</v>
      </c>
      <c r="B32" t="s">
        <v>16</v>
      </c>
      <c r="C32" t="s">
        <v>293</v>
      </c>
      <c r="D32" t="s">
        <v>489</v>
      </c>
      <c r="E32" t="s">
        <v>254</v>
      </c>
      <c r="F32" t="s">
        <v>551</v>
      </c>
      <c r="G32" t="s">
        <v>552</v>
      </c>
      <c r="H32" t="s">
        <v>552</v>
      </c>
      <c r="I32" t="s">
        <v>552</v>
      </c>
      <c r="J32" t="s">
        <v>552</v>
      </c>
    </row>
    <row r="33" spans="1:10" x14ac:dyDescent="0.35">
      <c r="A33" t="s">
        <v>290</v>
      </c>
      <c r="B33" t="s">
        <v>13</v>
      </c>
      <c r="C33" t="s">
        <v>290</v>
      </c>
      <c r="D33" t="s">
        <v>489</v>
      </c>
      <c r="E33" t="s">
        <v>254</v>
      </c>
      <c r="F33" t="s">
        <v>551</v>
      </c>
      <c r="G33" t="s">
        <v>552</v>
      </c>
      <c r="H33" t="s">
        <v>552</v>
      </c>
      <c r="I33" t="s">
        <v>552</v>
      </c>
      <c r="J33" t="s">
        <v>552</v>
      </c>
    </row>
    <row r="34" spans="1:10" x14ac:dyDescent="0.35">
      <c r="A34" t="s">
        <v>397</v>
      </c>
      <c r="B34" t="s">
        <v>86</v>
      </c>
      <c r="C34" t="s">
        <v>397</v>
      </c>
      <c r="D34" t="s">
        <v>335</v>
      </c>
      <c r="E34" t="s">
        <v>199</v>
      </c>
      <c r="F34" t="s">
        <v>563</v>
      </c>
      <c r="G34" t="s">
        <v>552</v>
      </c>
      <c r="H34" t="s">
        <v>552</v>
      </c>
      <c r="I34" t="s">
        <v>552</v>
      </c>
      <c r="J34" t="s">
        <v>552</v>
      </c>
    </row>
    <row r="35" spans="1:10" x14ac:dyDescent="0.35">
      <c r="A35" t="s">
        <v>316</v>
      </c>
      <c r="B35" t="s">
        <v>36</v>
      </c>
      <c r="C35" t="s">
        <v>316</v>
      </c>
      <c r="D35" t="s">
        <v>489</v>
      </c>
      <c r="E35" t="s">
        <v>254</v>
      </c>
      <c r="F35" t="s">
        <v>563</v>
      </c>
      <c r="G35" t="s">
        <v>556</v>
      </c>
      <c r="H35" t="s">
        <v>556</v>
      </c>
      <c r="I35" t="s">
        <v>552</v>
      </c>
      <c r="J35" t="s">
        <v>552</v>
      </c>
    </row>
    <row r="36" spans="1:10" x14ac:dyDescent="0.35">
      <c r="A36" t="s">
        <v>309</v>
      </c>
      <c r="B36" t="s">
        <v>31</v>
      </c>
      <c r="C36" t="s">
        <v>309</v>
      </c>
      <c r="D36" t="s">
        <v>445</v>
      </c>
      <c r="E36" t="s">
        <v>242</v>
      </c>
      <c r="F36" t="s">
        <v>560</v>
      </c>
      <c r="G36" t="s">
        <v>552</v>
      </c>
      <c r="H36" t="s">
        <v>552</v>
      </c>
      <c r="I36" t="s">
        <v>552</v>
      </c>
      <c r="J36" t="s">
        <v>552</v>
      </c>
    </row>
    <row r="37" spans="1:10" x14ac:dyDescent="0.35">
      <c r="A37" t="s">
        <v>321</v>
      </c>
      <c r="B37" t="s">
        <v>564</v>
      </c>
      <c r="C37" t="s">
        <v>321</v>
      </c>
      <c r="D37" t="s">
        <v>489</v>
      </c>
      <c r="E37" t="s">
        <v>254</v>
      </c>
      <c r="F37" t="s">
        <v>563</v>
      </c>
      <c r="G37" t="s">
        <v>552</v>
      </c>
      <c r="H37" t="s">
        <v>552</v>
      </c>
      <c r="I37" t="s">
        <v>556</v>
      </c>
      <c r="J37" t="s">
        <v>556</v>
      </c>
    </row>
    <row r="38" spans="1:10" x14ac:dyDescent="0.35">
      <c r="A38" t="s">
        <v>326</v>
      </c>
      <c r="B38" t="s">
        <v>196</v>
      </c>
      <c r="C38" t="s">
        <v>326</v>
      </c>
      <c r="D38" t="s">
        <v>402</v>
      </c>
      <c r="E38" t="s">
        <v>562</v>
      </c>
      <c r="F38" t="s">
        <v>560</v>
      </c>
      <c r="G38" t="s">
        <v>552</v>
      </c>
      <c r="H38" t="s">
        <v>552</v>
      </c>
      <c r="I38" t="s">
        <v>552</v>
      </c>
      <c r="J38" t="s">
        <v>552</v>
      </c>
    </row>
    <row r="39" spans="1:10" x14ac:dyDescent="0.35">
      <c r="A39" t="s">
        <v>308</v>
      </c>
      <c r="B39" t="s">
        <v>30</v>
      </c>
      <c r="C39" t="s">
        <v>308</v>
      </c>
      <c r="D39" t="s">
        <v>489</v>
      </c>
      <c r="E39" t="s">
        <v>254</v>
      </c>
      <c r="F39" t="s">
        <v>551</v>
      </c>
      <c r="G39" t="s">
        <v>552</v>
      </c>
      <c r="H39" t="s">
        <v>552</v>
      </c>
      <c r="I39" t="s">
        <v>552</v>
      </c>
      <c r="J39" t="s">
        <v>552</v>
      </c>
    </row>
    <row r="40" spans="1:10" x14ac:dyDescent="0.35">
      <c r="A40" t="s">
        <v>503</v>
      </c>
      <c r="B40" t="s">
        <v>157</v>
      </c>
      <c r="C40" t="s">
        <v>503</v>
      </c>
      <c r="D40" t="s">
        <v>489</v>
      </c>
      <c r="E40" t="s">
        <v>254</v>
      </c>
      <c r="F40" t="s">
        <v>551</v>
      </c>
      <c r="G40" t="s">
        <v>556</v>
      </c>
      <c r="H40" t="s">
        <v>556</v>
      </c>
      <c r="I40" t="s">
        <v>552</v>
      </c>
      <c r="J40" t="s">
        <v>552</v>
      </c>
    </row>
    <row r="41" spans="1:10" x14ac:dyDescent="0.35">
      <c r="A41" t="s">
        <v>312</v>
      </c>
      <c r="B41" t="s">
        <v>190</v>
      </c>
      <c r="C41" t="s">
        <v>312</v>
      </c>
      <c r="D41" t="s">
        <v>558</v>
      </c>
      <c r="E41" t="s">
        <v>559</v>
      </c>
      <c r="F41" t="s">
        <v>560</v>
      </c>
      <c r="G41" t="s">
        <v>552</v>
      </c>
      <c r="H41" t="s">
        <v>552</v>
      </c>
      <c r="I41" t="s">
        <v>552</v>
      </c>
      <c r="J41" t="s">
        <v>552</v>
      </c>
    </row>
    <row r="42" spans="1:10" x14ac:dyDescent="0.35">
      <c r="A42" t="s">
        <v>313</v>
      </c>
      <c r="B42" t="s">
        <v>33</v>
      </c>
      <c r="C42" t="s">
        <v>313</v>
      </c>
      <c r="D42" t="s">
        <v>402</v>
      </c>
      <c r="E42" t="s">
        <v>562</v>
      </c>
      <c r="F42" t="s">
        <v>560</v>
      </c>
      <c r="G42" t="s">
        <v>556</v>
      </c>
      <c r="H42" t="s">
        <v>552</v>
      </c>
      <c r="I42" t="s">
        <v>552</v>
      </c>
      <c r="J42" t="s">
        <v>552</v>
      </c>
    </row>
    <row r="43" spans="1:10" x14ac:dyDescent="0.35">
      <c r="A43" t="s">
        <v>314</v>
      </c>
      <c r="B43" t="s">
        <v>191</v>
      </c>
      <c r="C43" t="s">
        <v>314</v>
      </c>
      <c r="D43" t="s">
        <v>335</v>
      </c>
      <c r="E43" t="s">
        <v>199</v>
      </c>
      <c r="F43" t="s">
        <v>554</v>
      </c>
      <c r="G43" t="s">
        <v>552</v>
      </c>
      <c r="H43" t="s">
        <v>552</v>
      </c>
      <c r="I43" t="s">
        <v>552</v>
      </c>
      <c r="J43" t="s">
        <v>552</v>
      </c>
    </row>
    <row r="44" spans="1:10" x14ac:dyDescent="0.35">
      <c r="A44" t="s">
        <v>319</v>
      </c>
      <c r="B44" t="s">
        <v>37</v>
      </c>
      <c r="C44" t="s">
        <v>319</v>
      </c>
      <c r="D44" t="s">
        <v>402</v>
      </c>
      <c r="E44" t="s">
        <v>562</v>
      </c>
      <c r="F44" t="s">
        <v>554</v>
      </c>
      <c r="G44" t="s">
        <v>556</v>
      </c>
      <c r="H44" t="s">
        <v>556</v>
      </c>
      <c r="I44" t="s">
        <v>552</v>
      </c>
      <c r="J44" t="s">
        <v>552</v>
      </c>
    </row>
    <row r="45" spans="1:10" x14ac:dyDescent="0.35">
      <c r="A45" t="s">
        <v>320</v>
      </c>
      <c r="B45" t="s">
        <v>38</v>
      </c>
      <c r="C45" t="s">
        <v>320</v>
      </c>
      <c r="D45" t="s">
        <v>489</v>
      </c>
      <c r="E45" t="s">
        <v>254</v>
      </c>
      <c r="F45" t="s">
        <v>551</v>
      </c>
      <c r="G45" t="s">
        <v>552</v>
      </c>
      <c r="H45" t="s">
        <v>552</v>
      </c>
      <c r="I45" t="s">
        <v>556</v>
      </c>
      <c r="J45" t="s">
        <v>556</v>
      </c>
    </row>
    <row r="46" spans="1:10" x14ac:dyDescent="0.35">
      <c r="A46" t="s">
        <v>317</v>
      </c>
      <c r="B46" t="s">
        <v>192</v>
      </c>
      <c r="C46" t="s">
        <v>317</v>
      </c>
      <c r="D46" t="s">
        <v>489</v>
      </c>
      <c r="E46" t="s">
        <v>254</v>
      </c>
      <c r="F46" t="s">
        <v>563</v>
      </c>
      <c r="G46" t="s">
        <v>556</v>
      </c>
      <c r="H46" t="s">
        <v>552</v>
      </c>
      <c r="I46" t="s">
        <v>552</v>
      </c>
      <c r="J46" t="s">
        <v>552</v>
      </c>
    </row>
    <row r="47" spans="1:10" x14ac:dyDescent="0.35">
      <c r="A47" t="s">
        <v>318</v>
      </c>
      <c r="B47" t="s">
        <v>193</v>
      </c>
      <c r="C47" t="s">
        <v>318</v>
      </c>
      <c r="D47" t="s">
        <v>489</v>
      </c>
      <c r="E47" t="s">
        <v>254</v>
      </c>
      <c r="F47" t="s">
        <v>563</v>
      </c>
      <c r="G47" t="s">
        <v>556</v>
      </c>
      <c r="H47" t="s">
        <v>556</v>
      </c>
      <c r="I47" t="s">
        <v>552</v>
      </c>
      <c r="J47" t="s">
        <v>552</v>
      </c>
    </row>
    <row r="48" spans="1:10" x14ac:dyDescent="0.35">
      <c r="A48" t="s">
        <v>322</v>
      </c>
      <c r="B48" t="s">
        <v>40</v>
      </c>
      <c r="C48" t="s">
        <v>322</v>
      </c>
      <c r="D48" t="s">
        <v>402</v>
      </c>
      <c r="E48" t="s">
        <v>562</v>
      </c>
      <c r="F48" t="s">
        <v>554</v>
      </c>
      <c r="G48" t="s">
        <v>552</v>
      </c>
      <c r="H48" t="s">
        <v>552</v>
      </c>
      <c r="I48" t="s">
        <v>552</v>
      </c>
      <c r="J48" t="s">
        <v>552</v>
      </c>
    </row>
    <row r="49" spans="1:10" x14ac:dyDescent="0.35">
      <c r="A49" t="s">
        <v>315</v>
      </c>
      <c r="B49" t="s">
        <v>35</v>
      </c>
      <c r="C49" t="s">
        <v>315</v>
      </c>
      <c r="D49" t="s">
        <v>489</v>
      </c>
      <c r="E49" t="s">
        <v>254</v>
      </c>
      <c r="F49" t="s">
        <v>563</v>
      </c>
      <c r="G49" t="s">
        <v>556</v>
      </c>
      <c r="H49" t="s">
        <v>556</v>
      </c>
      <c r="I49" t="s">
        <v>552</v>
      </c>
      <c r="J49" t="s">
        <v>552</v>
      </c>
    </row>
    <row r="50" spans="1:10" x14ac:dyDescent="0.35">
      <c r="A50" t="s">
        <v>373</v>
      </c>
      <c r="B50" t="s">
        <v>71</v>
      </c>
      <c r="C50" t="s">
        <v>373</v>
      </c>
      <c r="D50" t="s">
        <v>338</v>
      </c>
      <c r="E50" t="s">
        <v>553</v>
      </c>
      <c r="F50" t="s">
        <v>560</v>
      </c>
      <c r="G50" t="s">
        <v>552</v>
      </c>
      <c r="H50" t="s">
        <v>552</v>
      </c>
      <c r="I50" t="s">
        <v>552</v>
      </c>
      <c r="J50" t="s">
        <v>552</v>
      </c>
    </row>
    <row r="51" spans="1:10" x14ac:dyDescent="0.35">
      <c r="A51" t="s">
        <v>324</v>
      </c>
      <c r="B51" t="s">
        <v>41</v>
      </c>
      <c r="C51" t="s">
        <v>324</v>
      </c>
      <c r="D51" t="s">
        <v>402</v>
      </c>
      <c r="E51" t="s">
        <v>562</v>
      </c>
      <c r="F51" t="s">
        <v>554</v>
      </c>
      <c r="G51" t="s">
        <v>552</v>
      </c>
      <c r="H51" t="s">
        <v>552</v>
      </c>
      <c r="I51" t="s">
        <v>552</v>
      </c>
      <c r="J51" t="s">
        <v>552</v>
      </c>
    </row>
    <row r="52" spans="1:10" x14ac:dyDescent="0.35">
      <c r="A52" t="s">
        <v>327</v>
      </c>
      <c r="B52" t="s">
        <v>42</v>
      </c>
      <c r="C52" t="s">
        <v>327</v>
      </c>
      <c r="D52" t="s">
        <v>338</v>
      </c>
      <c r="E52" t="s">
        <v>553</v>
      </c>
      <c r="F52" t="s">
        <v>560</v>
      </c>
      <c r="G52" t="s">
        <v>552</v>
      </c>
      <c r="H52" t="s">
        <v>552</v>
      </c>
      <c r="I52" t="s">
        <v>556</v>
      </c>
      <c r="J52" t="s">
        <v>552</v>
      </c>
    </row>
    <row r="53" spans="1:10" x14ac:dyDescent="0.35">
      <c r="A53" t="s">
        <v>328</v>
      </c>
      <c r="B53" t="s">
        <v>565</v>
      </c>
      <c r="C53" t="s">
        <v>328</v>
      </c>
      <c r="D53" t="s">
        <v>338</v>
      </c>
      <c r="E53" t="s">
        <v>553</v>
      </c>
      <c r="F53" t="s">
        <v>560</v>
      </c>
      <c r="G53" t="s">
        <v>552</v>
      </c>
      <c r="H53" t="s">
        <v>552</v>
      </c>
      <c r="I53" t="s">
        <v>552</v>
      </c>
      <c r="J53" t="s">
        <v>552</v>
      </c>
    </row>
    <row r="54" spans="1:10" x14ac:dyDescent="0.35">
      <c r="A54" t="s">
        <v>332</v>
      </c>
      <c r="B54" t="s">
        <v>47</v>
      </c>
      <c r="C54" t="s">
        <v>332</v>
      </c>
      <c r="D54" t="s">
        <v>558</v>
      </c>
      <c r="E54" t="s">
        <v>559</v>
      </c>
      <c r="F54" t="s">
        <v>560</v>
      </c>
      <c r="G54" t="s">
        <v>552</v>
      </c>
      <c r="H54" t="s">
        <v>552</v>
      </c>
      <c r="I54" t="s">
        <v>552</v>
      </c>
      <c r="J54" t="s">
        <v>552</v>
      </c>
    </row>
    <row r="55" spans="1:10" x14ac:dyDescent="0.35">
      <c r="A55" t="s">
        <v>330</v>
      </c>
      <c r="B55" t="s">
        <v>45</v>
      </c>
      <c r="C55" t="s">
        <v>330</v>
      </c>
      <c r="D55" t="s">
        <v>489</v>
      </c>
      <c r="E55" t="s">
        <v>254</v>
      </c>
      <c r="F55" t="s">
        <v>563</v>
      </c>
      <c r="G55" t="s">
        <v>552</v>
      </c>
      <c r="H55" t="s">
        <v>552</v>
      </c>
      <c r="I55" t="s">
        <v>556</v>
      </c>
      <c r="J55" t="s">
        <v>552</v>
      </c>
    </row>
    <row r="56" spans="1:10" x14ac:dyDescent="0.35">
      <c r="A56" t="s">
        <v>331</v>
      </c>
      <c r="B56" t="s">
        <v>46</v>
      </c>
      <c r="C56" t="s">
        <v>331</v>
      </c>
      <c r="D56" t="s">
        <v>402</v>
      </c>
      <c r="E56" t="s">
        <v>562</v>
      </c>
      <c r="F56" t="s">
        <v>554</v>
      </c>
      <c r="G56" t="s">
        <v>552</v>
      </c>
      <c r="H56" t="s">
        <v>552</v>
      </c>
      <c r="I56" t="s">
        <v>556</v>
      </c>
      <c r="J56" t="s">
        <v>556</v>
      </c>
    </row>
    <row r="57" spans="1:10" x14ac:dyDescent="0.35">
      <c r="A57" t="s">
        <v>333</v>
      </c>
      <c r="B57" t="s">
        <v>48</v>
      </c>
      <c r="C57" t="s">
        <v>333</v>
      </c>
      <c r="D57" t="s">
        <v>402</v>
      </c>
      <c r="E57" t="s">
        <v>562</v>
      </c>
      <c r="F57" t="s">
        <v>554</v>
      </c>
      <c r="G57" t="s">
        <v>552</v>
      </c>
      <c r="H57" t="s">
        <v>552</v>
      </c>
      <c r="I57" t="s">
        <v>552</v>
      </c>
      <c r="J57" t="s">
        <v>552</v>
      </c>
    </row>
    <row r="58" spans="1:10" x14ac:dyDescent="0.35">
      <c r="A58" t="s">
        <v>340</v>
      </c>
      <c r="B58" t="s">
        <v>50</v>
      </c>
      <c r="C58" t="s">
        <v>340</v>
      </c>
      <c r="D58" t="s">
        <v>402</v>
      </c>
      <c r="E58" t="s">
        <v>562</v>
      </c>
      <c r="F58" t="s">
        <v>554</v>
      </c>
      <c r="G58" t="s">
        <v>556</v>
      </c>
      <c r="H58" t="s">
        <v>556</v>
      </c>
      <c r="I58" t="s">
        <v>552</v>
      </c>
      <c r="J58" t="s">
        <v>552</v>
      </c>
    </row>
    <row r="59" spans="1:10" x14ac:dyDescent="0.35">
      <c r="A59" t="s">
        <v>341</v>
      </c>
      <c r="B59" t="s">
        <v>202</v>
      </c>
      <c r="C59" t="s">
        <v>341</v>
      </c>
      <c r="D59" t="s">
        <v>555</v>
      </c>
      <c r="E59" t="s">
        <v>238</v>
      </c>
      <c r="F59" t="s">
        <v>563</v>
      </c>
      <c r="G59" t="s">
        <v>556</v>
      </c>
      <c r="H59" t="s">
        <v>556</v>
      </c>
      <c r="I59" t="s">
        <v>552</v>
      </c>
      <c r="J59" t="s">
        <v>552</v>
      </c>
    </row>
    <row r="60" spans="1:10" x14ac:dyDescent="0.35">
      <c r="A60" t="s">
        <v>485</v>
      </c>
      <c r="B60" t="s">
        <v>145</v>
      </c>
      <c r="C60" t="s">
        <v>485</v>
      </c>
      <c r="D60" t="s">
        <v>402</v>
      </c>
      <c r="E60" t="s">
        <v>562</v>
      </c>
      <c r="F60" t="s">
        <v>563</v>
      </c>
      <c r="G60" t="s">
        <v>552</v>
      </c>
      <c r="H60" t="s">
        <v>552</v>
      </c>
      <c r="I60" t="s">
        <v>552</v>
      </c>
      <c r="J60" t="s">
        <v>552</v>
      </c>
    </row>
    <row r="61" spans="1:10" x14ac:dyDescent="0.35">
      <c r="A61" t="s">
        <v>362</v>
      </c>
      <c r="B61" t="s">
        <v>65</v>
      </c>
      <c r="C61" t="s">
        <v>362</v>
      </c>
      <c r="D61" t="s">
        <v>489</v>
      </c>
      <c r="E61" t="s">
        <v>254</v>
      </c>
      <c r="F61" t="s">
        <v>554</v>
      </c>
      <c r="G61" t="s">
        <v>556</v>
      </c>
      <c r="H61" t="s">
        <v>556</v>
      </c>
      <c r="I61" t="s">
        <v>556</v>
      </c>
      <c r="J61" t="s">
        <v>552</v>
      </c>
    </row>
    <row r="62" spans="1:10" x14ac:dyDescent="0.35">
      <c r="A62" t="s">
        <v>343</v>
      </c>
      <c r="B62" t="s">
        <v>51</v>
      </c>
      <c r="C62" t="s">
        <v>343</v>
      </c>
      <c r="D62" t="s">
        <v>489</v>
      </c>
      <c r="E62" t="s">
        <v>254</v>
      </c>
      <c r="F62" t="s">
        <v>551</v>
      </c>
      <c r="G62" t="s">
        <v>552</v>
      </c>
      <c r="H62" t="s">
        <v>552</v>
      </c>
      <c r="I62" t="s">
        <v>552</v>
      </c>
      <c r="J62" t="s">
        <v>552</v>
      </c>
    </row>
    <row r="63" spans="1:10" x14ac:dyDescent="0.35">
      <c r="A63" t="s">
        <v>345</v>
      </c>
      <c r="B63" t="s">
        <v>53</v>
      </c>
      <c r="C63" t="s">
        <v>345</v>
      </c>
      <c r="D63" t="s">
        <v>338</v>
      </c>
      <c r="E63" t="s">
        <v>553</v>
      </c>
      <c r="F63" t="s">
        <v>560</v>
      </c>
      <c r="G63" t="s">
        <v>552</v>
      </c>
      <c r="H63" t="s">
        <v>552</v>
      </c>
      <c r="I63" t="s">
        <v>556</v>
      </c>
      <c r="J63" t="s">
        <v>552</v>
      </c>
    </row>
    <row r="64" spans="1:10" x14ac:dyDescent="0.35">
      <c r="A64" t="s">
        <v>498</v>
      </c>
      <c r="B64" t="s">
        <v>154</v>
      </c>
      <c r="C64" t="s">
        <v>498</v>
      </c>
      <c r="D64" t="s">
        <v>489</v>
      </c>
      <c r="E64" t="s">
        <v>254</v>
      </c>
      <c r="F64" t="s">
        <v>563</v>
      </c>
      <c r="G64" t="s">
        <v>552</v>
      </c>
      <c r="H64" t="s">
        <v>552</v>
      </c>
      <c r="I64" t="s">
        <v>556</v>
      </c>
      <c r="J64" t="s">
        <v>552</v>
      </c>
    </row>
    <row r="65" spans="1:10" x14ac:dyDescent="0.35">
      <c r="A65" t="s">
        <v>346</v>
      </c>
      <c r="B65" t="s">
        <v>54</v>
      </c>
      <c r="C65" t="s">
        <v>346</v>
      </c>
      <c r="D65" t="s">
        <v>489</v>
      </c>
      <c r="E65" t="s">
        <v>254</v>
      </c>
      <c r="F65" t="s">
        <v>551</v>
      </c>
      <c r="G65" t="s">
        <v>552</v>
      </c>
      <c r="H65" t="s">
        <v>552</v>
      </c>
      <c r="I65" t="s">
        <v>552</v>
      </c>
      <c r="J65" t="s">
        <v>552</v>
      </c>
    </row>
    <row r="66" spans="1:10" x14ac:dyDescent="0.35">
      <c r="A66" t="s">
        <v>352</v>
      </c>
      <c r="B66" t="s">
        <v>566</v>
      </c>
      <c r="C66" t="s">
        <v>352</v>
      </c>
      <c r="D66" t="s">
        <v>558</v>
      </c>
      <c r="E66" t="s">
        <v>559</v>
      </c>
      <c r="F66" t="s">
        <v>560</v>
      </c>
      <c r="G66" t="s">
        <v>552</v>
      </c>
      <c r="H66" t="s">
        <v>552</v>
      </c>
      <c r="I66" t="s">
        <v>552</v>
      </c>
      <c r="J66" t="s">
        <v>552</v>
      </c>
    </row>
    <row r="67" spans="1:10" x14ac:dyDescent="0.35">
      <c r="A67" t="s">
        <v>350</v>
      </c>
      <c r="B67" t="s">
        <v>56</v>
      </c>
      <c r="C67" t="s">
        <v>350</v>
      </c>
      <c r="D67" t="s">
        <v>335</v>
      </c>
      <c r="E67" t="s">
        <v>199</v>
      </c>
      <c r="F67" t="s">
        <v>554</v>
      </c>
      <c r="G67" t="s">
        <v>552</v>
      </c>
      <c r="H67" t="s">
        <v>552</v>
      </c>
      <c r="I67" t="s">
        <v>556</v>
      </c>
      <c r="J67" t="s">
        <v>556</v>
      </c>
    </row>
    <row r="68" spans="1:10" x14ac:dyDescent="0.35">
      <c r="A68" t="s">
        <v>349</v>
      </c>
      <c r="B68" t="s">
        <v>55</v>
      </c>
      <c r="C68" t="s">
        <v>349</v>
      </c>
      <c r="D68" t="s">
        <v>558</v>
      </c>
      <c r="E68" t="s">
        <v>559</v>
      </c>
      <c r="F68" t="s">
        <v>560</v>
      </c>
      <c r="G68" t="s">
        <v>552</v>
      </c>
      <c r="H68" t="s">
        <v>552</v>
      </c>
      <c r="I68" t="s">
        <v>552</v>
      </c>
      <c r="J68" t="s">
        <v>552</v>
      </c>
    </row>
    <row r="69" spans="1:10" x14ac:dyDescent="0.35">
      <c r="A69" t="s">
        <v>351</v>
      </c>
      <c r="B69" t="s">
        <v>57</v>
      </c>
      <c r="C69" t="s">
        <v>351</v>
      </c>
      <c r="D69" t="s">
        <v>558</v>
      </c>
      <c r="E69" t="s">
        <v>559</v>
      </c>
      <c r="F69" t="s">
        <v>560</v>
      </c>
      <c r="G69" t="s">
        <v>552</v>
      </c>
      <c r="H69" t="s">
        <v>552</v>
      </c>
      <c r="I69" t="s">
        <v>552</v>
      </c>
      <c r="J69" t="s">
        <v>552</v>
      </c>
    </row>
    <row r="70" spans="1:10" x14ac:dyDescent="0.35">
      <c r="A70" t="s">
        <v>473</v>
      </c>
      <c r="B70" t="s">
        <v>251</v>
      </c>
      <c r="C70" t="s">
        <v>473</v>
      </c>
      <c r="D70" t="s">
        <v>335</v>
      </c>
      <c r="E70" t="s">
        <v>199</v>
      </c>
      <c r="F70" t="s">
        <v>560</v>
      </c>
      <c r="G70" t="s">
        <v>552</v>
      </c>
      <c r="H70" t="s">
        <v>552</v>
      </c>
      <c r="I70" t="s">
        <v>552</v>
      </c>
      <c r="J70" t="s">
        <v>552</v>
      </c>
    </row>
    <row r="71" spans="1:10" x14ac:dyDescent="0.35">
      <c r="A71" t="s">
        <v>354</v>
      </c>
      <c r="B71" t="s">
        <v>58</v>
      </c>
      <c r="C71" t="s">
        <v>354</v>
      </c>
      <c r="D71" t="s">
        <v>489</v>
      </c>
      <c r="E71" t="s">
        <v>254</v>
      </c>
      <c r="F71" t="s">
        <v>554</v>
      </c>
      <c r="G71" t="s">
        <v>556</v>
      </c>
      <c r="H71" t="s">
        <v>556</v>
      </c>
      <c r="I71" t="s">
        <v>556</v>
      </c>
      <c r="J71" t="s">
        <v>552</v>
      </c>
    </row>
    <row r="72" spans="1:10" x14ac:dyDescent="0.35">
      <c r="A72" t="s">
        <v>360</v>
      </c>
      <c r="B72" t="s">
        <v>63</v>
      </c>
      <c r="C72" t="s">
        <v>360</v>
      </c>
      <c r="D72" t="s">
        <v>489</v>
      </c>
      <c r="E72" t="s">
        <v>254</v>
      </c>
      <c r="F72" t="s">
        <v>551</v>
      </c>
      <c r="G72" t="s">
        <v>552</v>
      </c>
      <c r="H72" t="s">
        <v>552</v>
      </c>
      <c r="I72" t="s">
        <v>556</v>
      </c>
      <c r="J72" t="s">
        <v>552</v>
      </c>
    </row>
    <row r="73" spans="1:10" x14ac:dyDescent="0.35">
      <c r="A73" t="s">
        <v>356</v>
      </c>
      <c r="B73" t="s">
        <v>60</v>
      </c>
      <c r="C73" t="s">
        <v>356</v>
      </c>
      <c r="D73" t="s">
        <v>338</v>
      </c>
      <c r="E73" t="s">
        <v>553</v>
      </c>
      <c r="F73" t="s">
        <v>554</v>
      </c>
      <c r="G73" t="s">
        <v>552</v>
      </c>
      <c r="H73" t="s">
        <v>552</v>
      </c>
      <c r="I73" t="s">
        <v>552</v>
      </c>
      <c r="J73" t="s">
        <v>552</v>
      </c>
    </row>
    <row r="74" spans="1:10" x14ac:dyDescent="0.35">
      <c r="A74" t="s">
        <v>329</v>
      </c>
      <c r="B74" t="s">
        <v>44</v>
      </c>
      <c r="C74" t="s">
        <v>329</v>
      </c>
      <c r="D74" t="s">
        <v>558</v>
      </c>
      <c r="E74" t="s">
        <v>559</v>
      </c>
      <c r="F74" t="s">
        <v>560</v>
      </c>
      <c r="G74" t="s">
        <v>552</v>
      </c>
      <c r="H74" t="s">
        <v>552</v>
      </c>
      <c r="I74" t="s">
        <v>552</v>
      </c>
      <c r="J74" t="s">
        <v>552</v>
      </c>
    </row>
    <row r="75" spans="1:10" x14ac:dyDescent="0.35">
      <c r="A75" t="s">
        <v>357</v>
      </c>
      <c r="B75" t="s">
        <v>61</v>
      </c>
      <c r="C75" t="s">
        <v>357</v>
      </c>
      <c r="D75" t="s">
        <v>489</v>
      </c>
      <c r="E75" t="s">
        <v>254</v>
      </c>
      <c r="F75" t="s">
        <v>563</v>
      </c>
      <c r="G75" t="s">
        <v>556</v>
      </c>
      <c r="H75" t="s">
        <v>556</v>
      </c>
      <c r="I75" t="s">
        <v>552</v>
      </c>
      <c r="J75" t="s">
        <v>552</v>
      </c>
    </row>
    <row r="76" spans="1:10" x14ac:dyDescent="0.35">
      <c r="A76" t="s">
        <v>363</v>
      </c>
      <c r="B76" t="s">
        <v>66</v>
      </c>
      <c r="C76" t="s">
        <v>363</v>
      </c>
      <c r="D76" t="s">
        <v>338</v>
      </c>
      <c r="E76" t="s">
        <v>553</v>
      </c>
      <c r="F76" t="s">
        <v>560</v>
      </c>
      <c r="G76" t="s">
        <v>552</v>
      </c>
      <c r="H76" t="s">
        <v>552</v>
      </c>
      <c r="I76" t="s">
        <v>552</v>
      </c>
      <c r="J76" t="s">
        <v>552</v>
      </c>
    </row>
    <row r="77" spans="1:10" x14ac:dyDescent="0.35">
      <c r="A77" t="s">
        <v>365</v>
      </c>
      <c r="B77" t="s">
        <v>209</v>
      </c>
      <c r="C77" t="s">
        <v>365</v>
      </c>
      <c r="D77" t="s">
        <v>558</v>
      </c>
      <c r="E77" t="s">
        <v>559</v>
      </c>
      <c r="F77" t="s">
        <v>560</v>
      </c>
      <c r="G77" t="s">
        <v>552</v>
      </c>
      <c r="H77" t="s">
        <v>552</v>
      </c>
      <c r="I77" t="s">
        <v>552</v>
      </c>
      <c r="J77" t="s">
        <v>552</v>
      </c>
    </row>
    <row r="78" spans="1:10" x14ac:dyDescent="0.35">
      <c r="A78" t="s">
        <v>364</v>
      </c>
      <c r="B78" t="s">
        <v>67</v>
      </c>
      <c r="C78" t="s">
        <v>364</v>
      </c>
      <c r="D78" t="s">
        <v>402</v>
      </c>
      <c r="E78" t="s">
        <v>562</v>
      </c>
      <c r="F78" t="s">
        <v>554</v>
      </c>
      <c r="G78" t="s">
        <v>552</v>
      </c>
      <c r="H78" t="s">
        <v>552</v>
      </c>
      <c r="I78" t="s">
        <v>556</v>
      </c>
      <c r="J78" t="s">
        <v>556</v>
      </c>
    </row>
    <row r="79" spans="1:10" x14ac:dyDescent="0.35">
      <c r="A79" t="s">
        <v>367</v>
      </c>
      <c r="B79" t="s">
        <v>210</v>
      </c>
      <c r="C79" t="s">
        <v>367</v>
      </c>
      <c r="D79" t="s">
        <v>335</v>
      </c>
      <c r="E79" t="s">
        <v>199</v>
      </c>
      <c r="F79" t="s">
        <v>560</v>
      </c>
      <c r="G79" t="s">
        <v>552</v>
      </c>
      <c r="H79" t="s">
        <v>552</v>
      </c>
      <c r="I79" t="s">
        <v>552</v>
      </c>
      <c r="J79" t="s">
        <v>552</v>
      </c>
    </row>
    <row r="80" spans="1:10" x14ac:dyDescent="0.35">
      <c r="A80" t="s">
        <v>366</v>
      </c>
      <c r="B80" t="s">
        <v>68</v>
      </c>
      <c r="C80" t="s">
        <v>366</v>
      </c>
      <c r="D80" t="s">
        <v>402</v>
      </c>
      <c r="E80" t="s">
        <v>562</v>
      </c>
      <c r="F80" t="s">
        <v>563</v>
      </c>
      <c r="G80" t="s">
        <v>552</v>
      </c>
      <c r="H80" t="s">
        <v>552</v>
      </c>
      <c r="I80" t="s">
        <v>552</v>
      </c>
      <c r="J80" t="s">
        <v>552</v>
      </c>
    </row>
    <row r="81" spans="1:10" x14ac:dyDescent="0.35">
      <c r="A81" t="s">
        <v>359</v>
      </c>
      <c r="B81" t="s">
        <v>62</v>
      </c>
      <c r="C81" t="s">
        <v>359</v>
      </c>
      <c r="D81" t="s">
        <v>489</v>
      </c>
      <c r="E81" t="s">
        <v>254</v>
      </c>
      <c r="F81" t="s">
        <v>551</v>
      </c>
      <c r="G81" t="s">
        <v>556</v>
      </c>
      <c r="H81" t="s">
        <v>552</v>
      </c>
      <c r="I81" t="s">
        <v>552</v>
      </c>
      <c r="J81" t="s">
        <v>552</v>
      </c>
    </row>
    <row r="82" spans="1:10" x14ac:dyDescent="0.35">
      <c r="A82" t="s">
        <v>361</v>
      </c>
      <c r="B82" t="s">
        <v>64</v>
      </c>
      <c r="C82" t="s">
        <v>361</v>
      </c>
      <c r="D82" t="s">
        <v>489</v>
      </c>
      <c r="E82" t="s">
        <v>254</v>
      </c>
      <c r="F82" t="s">
        <v>551</v>
      </c>
      <c r="G82" t="s">
        <v>552</v>
      </c>
      <c r="H82" t="s">
        <v>552</v>
      </c>
      <c r="I82" t="s">
        <v>556</v>
      </c>
      <c r="J82" t="s">
        <v>552</v>
      </c>
    </row>
    <row r="83" spans="1:10" x14ac:dyDescent="0.35">
      <c r="A83" t="s">
        <v>368</v>
      </c>
      <c r="B83" t="s">
        <v>69</v>
      </c>
      <c r="C83" t="s">
        <v>368</v>
      </c>
      <c r="D83" t="s">
        <v>402</v>
      </c>
      <c r="E83" t="s">
        <v>562</v>
      </c>
      <c r="F83" t="s">
        <v>554</v>
      </c>
      <c r="G83" t="s">
        <v>556</v>
      </c>
      <c r="H83" t="s">
        <v>552</v>
      </c>
      <c r="I83" t="s">
        <v>556</v>
      </c>
      <c r="J83" t="s">
        <v>552</v>
      </c>
    </row>
    <row r="84" spans="1:10" x14ac:dyDescent="0.35">
      <c r="A84" t="s">
        <v>374</v>
      </c>
      <c r="B84" t="s">
        <v>72</v>
      </c>
      <c r="C84" t="s">
        <v>374</v>
      </c>
      <c r="D84" t="s">
        <v>402</v>
      </c>
      <c r="E84" t="s">
        <v>562</v>
      </c>
      <c r="F84" t="s">
        <v>551</v>
      </c>
      <c r="G84" t="s">
        <v>552</v>
      </c>
      <c r="H84" t="s">
        <v>552</v>
      </c>
      <c r="I84" t="s">
        <v>552</v>
      </c>
      <c r="J84" t="s">
        <v>552</v>
      </c>
    </row>
    <row r="85" spans="1:10" x14ac:dyDescent="0.35">
      <c r="A85" t="s">
        <v>371</v>
      </c>
      <c r="B85" t="s">
        <v>70</v>
      </c>
      <c r="C85" t="s">
        <v>371</v>
      </c>
      <c r="D85" t="s">
        <v>402</v>
      </c>
      <c r="E85" t="s">
        <v>562</v>
      </c>
      <c r="F85" t="s">
        <v>563</v>
      </c>
      <c r="G85" t="s">
        <v>552</v>
      </c>
      <c r="H85" t="s">
        <v>552</v>
      </c>
      <c r="I85" t="s">
        <v>552</v>
      </c>
      <c r="J85" t="s">
        <v>552</v>
      </c>
    </row>
    <row r="86" spans="1:10" x14ac:dyDescent="0.35">
      <c r="A86" t="s">
        <v>370</v>
      </c>
      <c r="B86" t="s">
        <v>212</v>
      </c>
      <c r="C86" t="s">
        <v>370</v>
      </c>
      <c r="D86" t="s">
        <v>335</v>
      </c>
      <c r="E86" t="s">
        <v>199</v>
      </c>
      <c r="F86" t="s">
        <v>560</v>
      </c>
      <c r="G86" t="s">
        <v>552</v>
      </c>
      <c r="H86" t="s">
        <v>552</v>
      </c>
      <c r="I86" t="s">
        <v>556</v>
      </c>
      <c r="J86" t="s">
        <v>556</v>
      </c>
    </row>
    <row r="87" spans="1:10" x14ac:dyDescent="0.35">
      <c r="A87" t="s">
        <v>375</v>
      </c>
      <c r="B87" t="s">
        <v>73</v>
      </c>
      <c r="C87" t="s">
        <v>375</v>
      </c>
      <c r="D87" t="s">
        <v>338</v>
      </c>
      <c r="E87" t="s">
        <v>553</v>
      </c>
      <c r="F87" t="s">
        <v>560</v>
      </c>
      <c r="G87" t="s">
        <v>552</v>
      </c>
      <c r="H87" t="s">
        <v>552</v>
      </c>
      <c r="I87" t="s">
        <v>552</v>
      </c>
      <c r="J87" t="s">
        <v>552</v>
      </c>
    </row>
    <row r="88" spans="1:10" x14ac:dyDescent="0.35">
      <c r="A88" t="s">
        <v>388</v>
      </c>
      <c r="B88" t="s">
        <v>78</v>
      </c>
      <c r="C88" t="s">
        <v>388</v>
      </c>
      <c r="D88" t="s">
        <v>558</v>
      </c>
      <c r="E88" t="s">
        <v>559</v>
      </c>
      <c r="F88" t="s">
        <v>560</v>
      </c>
      <c r="G88" t="s">
        <v>552</v>
      </c>
      <c r="H88" t="s">
        <v>552</v>
      </c>
      <c r="I88" t="s">
        <v>556</v>
      </c>
      <c r="J88" t="s">
        <v>552</v>
      </c>
    </row>
    <row r="89" spans="1:10" x14ac:dyDescent="0.35">
      <c r="A89" t="s">
        <v>383</v>
      </c>
      <c r="B89" t="s">
        <v>75</v>
      </c>
      <c r="C89" t="s">
        <v>383</v>
      </c>
      <c r="D89" t="s">
        <v>550</v>
      </c>
      <c r="E89" t="s">
        <v>252</v>
      </c>
      <c r="F89" t="s">
        <v>563</v>
      </c>
      <c r="G89" t="s">
        <v>552</v>
      </c>
      <c r="H89" t="s">
        <v>552</v>
      </c>
      <c r="I89" t="s">
        <v>552</v>
      </c>
      <c r="J89" t="s">
        <v>552</v>
      </c>
    </row>
    <row r="90" spans="1:10" x14ac:dyDescent="0.35">
      <c r="A90" t="s">
        <v>380</v>
      </c>
      <c r="B90" t="s">
        <v>74</v>
      </c>
      <c r="C90" t="s">
        <v>380</v>
      </c>
      <c r="D90" t="s">
        <v>335</v>
      </c>
      <c r="E90" t="s">
        <v>199</v>
      </c>
      <c r="F90" t="s">
        <v>563</v>
      </c>
      <c r="G90" t="s">
        <v>556</v>
      </c>
      <c r="H90" t="s">
        <v>556</v>
      </c>
      <c r="I90" t="s">
        <v>552</v>
      </c>
      <c r="J90" t="s">
        <v>552</v>
      </c>
    </row>
    <row r="91" spans="1:10" x14ac:dyDescent="0.35">
      <c r="A91" t="s">
        <v>386</v>
      </c>
      <c r="B91" t="s">
        <v>221</v>
      </c>
      <c r="C91" t="s">
        <v>386</v>
      </c>
      <c r="D91" t="s">
        <v>555</v>
      </c>
      <c r="E91" t="s">
        <v>238</v>
      </c>
      <c r="F91" t="s">
        <v>554</v>
      </c>
      <c r="G91" t="s">
        <v>556</v>
      </c>
      <c r="H91" t="s">
        <v>556</v>
      </c>
      <c r="I91" t="s">
        <v>552</v>
      </c>
      <c r="J91" t="s">
        <v>552</v>
      </c>
    </row>
    <row r="92" spans="1:10" x14ac:dyDescent="0.35">
      <c r="A92" t="s">
        <v>387</v>
      </c>
      <c r="B92" t="s">
        <v>77</v>
      </c>
      <c r="C92" t="s">
        <v>387</v>
      </c>
      <c r="D92" t="s">
        <v>555</v>
      </c>
      <c r="E92" t="s">
        <v>238</v>
      </c>
      <c r="F92" t="s">
        <v>554</v>
      </c>
      <c r="G92" t="s">
        <v>556</v>
      </c>
      <c r="H92" t="s">
        <v>556</v>
      </c>
      <c r="I92" t="s">
        <v>552</v>
      </c>
      <c r="J92" t="s">
        <v>552</v>
      </c>
    </row>
    <row r="93" spans="1:10" x14ac:dyDescent="0.35">
      <c r="A93" t="s">
        <v>385</v>
      </c>
      <c r="B93" t="s">
        <v>76</v>
      </c>
      <c r="C93" t="s">
        <v>385</v>
      </c>
      <c r="D93" t="s">
        <v>558</v>
      </c>
      <c r="E93" t="s">
        <v>559</v>
      </c>
      <c r="F93" t="s">
        <v>560</v>
      </c>
      <c r="G93" t="s">
        <v>552</v>
      </c>
      <c r="H93" t="s">
        <v>552</v>
      </c>
      <c r="I93" t="s">
        <v>552</v>
      </c>
      <c r="J93" t="s">
        <v>552</v>
      </c>
    </row>
    <row r="94" spans="1:10" x14ac:dyDescent="0.35">
      <c r="A94" t="s">
        <v>567</v>
      </c>
      <c r="B94" t="s">
        <v>219</v>
      </c>
      <c r="C94" t="s">
        <v>567</v>
      </c>
      <c r="D94" t="s">
        <v>558</v>
      </c>
      <c r="E94" t="s">
        <v>559</v>
      </c>
      <c r="F94" t="s">
        <v>560</v>
      </c>
      <c r="G94" t="s">
        <v>552</v>
      </c>
      <c r="H94" t="s">
        <v>552</v>
      </c>
      <c r="I94" t="s">
        <v>552</v>
      </c>
      <c r="J94" t="s">
        <v>552</v>
      </c>
    </row>
    <row r="95" spans="1:10" x14ac:dyDescent="0.35">
      <c r="A95" t="s">
        <v>389</v>
      </c>
      <c r="B95" t="s">
        <v>79</v>
      </c>
      <c r="C95" t="s">
        <v>389</v>
      </c>
      <c r="D95" t="s">
        <v>555</v>
      </c>
      <c r="E95" t="s">
        <v>238</v>
      </c>
      <c r="F95" t="s">
        <v>560</v>
      </c>
      <c r="G95" t="s">
        <v>552</v>
      </c>
      <c r="H95" t="s">
        <v>552</v>
      </c>
      <c r="I95" t="s">
        <v>552</v>
      </c>
      <c r="J95" t="s">
        <v>552</v>
      </c>
    </row>
    <row r="96" spans="1:10" x14ac:dyDescent="0.35">
      <c r="A96" t="s">
        <v>390</v>
      </c>
      <c r="B96" t="s">
        <v>80</v>
      </c>
      <c r="C96" t="s">
        <v>390</v>
      </c>
      <c r="D96" t="s">
        <v>558</v>
      </c>
      <c r="E96" t="s">
        <v>559</v>
      </c>
      <c r="F96" t="s">
        <v>560</v>
      </c>
      <c r="G96" t="s">
        <v>552</v>
      </c>
      <c r="H96" t="s">
        <v>552</v>
      </c>
      <c r="I96" t="s">
        <v>552</v>
      </c>
      <c r="J96" t="s">
        <v>552</v>
      </c>
    </row>
    <row r="97" spans="1:10" x14ac:dyDescent="0.35">
      <c r="A97" t="s">
        <v>391</v>
      </c>
      <c r="B97" t="s">
        <v>81</v>
      </c>
      <c r="C97" t="s">
        <v>391</v>
      </c>
      <c r="D97" t="s">
        <v>402</v>
      </c>
      <c r="E97" t="s">
        <v>562</v>
      </c>
      <c r="F97" t="s">
        <v>554</v>
      </c>
      <c r="G97" t="s">
        <v>552</v>
      </c>
      <c r="H97" t="s">
        <v>552</v>
      </c>
      <c r="I97" t="s">
        <v>556</v>
      </c>
      <c r="J97" t="s">
        <v>556</v>
      </c>
    </row>
    <row r="98" spans="1:10" x14ac:dyDescent="0.35">
      <c r="A98" t="s">
        <v>393</v>
      </c>
      <c r="B98" t="s">
        <v>83</v>
      </c>
      <c r="C98" t="s">
        <v>393</v>
      </c>
      <c r="D98" t="s">
        <v>335</v>
      </c>
      <c r="E98" t="s">
        <v>199</v>
      </c>
      <c r="F98" t="s">
        <v>560</v>
      </c>
      <c r="G98" t="s">
        <v>552</v>
      </c>
      <c r="H98" t="s">
        <v>552</v>
      </c>
      <c r="I98" t="s">
        <v>552</v>
      </c>
      <c r="J98" t="s">
        <v>552</v>
      </c>
    </row>
    <row r="99" spans="1:10" x14ac:dyDescent="0.35">
      <c r="A99" t="s">
        <v>392</v>
      </c>
      <c r="B99" t="s">
        <v>82</v>
      </c>
      <c r="C99" t="s">
        <v>392</v>
      </c>
      <c r="D99" t="s">
        <v>555</v>
      </c>
      <c r="E99" t="s">
        <v>238</v>
      </c>
      <c r="F99" t="s">
        <v>554</v>
      </c>
      <c r="G99" t="s">
        <v>552</v>
      </c>
      <c r="H99" t="s">
        <v>552</v>
      </c>
      <c r="I99" t="s">
        <v>552</v>
      </c>
      <c r="J99" t="s">
        <v>552</v>
      </c>
    </row>
    <row r="100" spans="1:10" x14ac:dyDescent="0.35">
      <c r="A100" t="s">
        <v>394</v>
      </c>
      <c r="B100" t="s">
        <v>84</v>
      </c>
      <c r="C100" t="s">
        <v>394</v>
      </c>
      <c r="D100" t="s">
        <v>338</v>
      </c>
      <c r="E100" t="s">
        <v>553</v>
      </c>
      <c r="F100" t="s">
        <v>554</v>
      </c>
      <c r="G100" t="s">
        <v>556</v>
      </c>
      <c r="H100" t="s">
        <v>556</v>
      </c>
      <c r="I100" t="s">
        <v>552</v>
      </c>
      <c r="J100" t="s">
        <v>552</v>
      </c>
    </row>
    <row r="101" spans="1:10" x14ac:dyDescent="0.35">
      <c r="A101" t="s">
        <v>395</v>
      </c>
      <c r="B101" t="s">
        <v>85</v>
      </c>
      <c r="C101" t="s">
        <v>395</v>
      </c>
      <c r="D101" t="s">
        <v>489</v>
      </c>
      <c r="E101" t="s">
        <v>254</v>
      </c>
      <c r="F101" t="s">
        <v>563</v>
      </c>
      <c r="G101" t="s">
        <v>552</v>
      </c>
      <c r="H101" t="s">
        <v>552</v>
      </c>
      <c r="I101" t="s">
        <v>552</v>
      </c>
      <c r="J101" t="s">
        <v>552</v>
      </c>
    </row>
    <row r="102" spans="1:10" x14ac:dyDescent="0.35">
      <c r="A102" t="s">
        <v>398</v>
      </c>
      <c r="B102" t="s">
        <v>87</v>
      </c>
      <c r="C102" t="s">
        <v>398</v>
      </c>
      <c r="D102" t="s">
        <v>335</v>
      </c>
      <c r="E102" t="s">
        <v>199</v>
      </c>
      <c r="F102" t="s">
        <v>563</v>
      </c>
      <c r="G102" t="s">
        <v>552</v>
      </c>
      <c r="H102" t="s">
        <v>552</v>
      </c>
      <c r="I102" t="s">
        <v>556</v>
      </c>
      <c r="J102" t="s">
        <v>556</v>
      </c>
    </row>
    <row r="103" spans="1:10" x14ac:dyDescent="0.35">
      <c r="A103" t="s">
        <v>467</v>
      </c>
      <c r="B103" t="s">
        <v>568</v>
      </c>
      <c r="C103" t="s">
        <v>467</v>
      </c>
      <c r="D103" t="s">
        <v>335</v>
      </c>
      <c r="E103" t="s">
        <v>199</v>
      </c>
      <c r="F103" t="s">
        <v>551</v>
      </c>
      <c r="G103" t="s">
        <v>552</v>
      </c>
      <c r="H103" t="s">
        <v>552</v>
      </c>
      <c r="I103" t="s">
        <v>552</v>
      </c>
      <c r="J103" t="s">
        <v>552</v>
      </c>
    </row>
    <row r="104" spans="1:10" x14ac:dyDescent="0.35">
      <c r="A104" t="s">
        <v>400</v>
      </c>
      <c r="B104" t="s">
        <v>224</v>
      </c>
      <c r="C104" t="s">
        <v>400</v>
      </c>
      <c r="D104" t="s">
        <v>335</v>
      </c>
      <c r="E104" t="s">
        <v>199</v>
      </c>
      <c r="F104" t="s">
        <v>560</v>
      </c>
      <c r="G104" t="s">
        <v>552</v>
      </c>
      <c r="H104" t="s">
        <v>552</v>
      </c>
      <c r="I104" t="s">
        <v>552</v>
      </c>
      <c r="J104" t="s">
        <v>552</v>
      </c>
    </row>
    <row r="105" spans="1:10" x14ac:dyDescent="0.35">
      <c r="A105" t="s">
        <v>535</v>
      </c>
      <c r="B105" t="s">
        <v>89</v>
      </c>
      <c r="C105" t="s">
        <v>535</v>
      </c>
      <c r="D105" t="s">
        <v>338</v>
      </c>
      <c r="E105" t="s">
        <v>553</v>
      </c>
      <c r="F105" t="s">
        <v>563</v>
      </c>
      <c r="G105" t="s">
        <v>552</v>
      </c>
      <c r="H105" t="s">
        <v>552</v>
      </c>
      <c r="I105" t="s">
        <v>552</v>
      </c>
      <c r="J105" t="s">
        <v>552</v>
      </c>
    </row>
    <row r="106" spans="1:10" x14ac:dyDescent="0.35">
      <c r="A106" t="s">
        <v>401</v>
      </c>
      <c r="B106" t="s">
        <v>90</v>
      </c>
      <c r="C106" t="s">
        <v>401</v>
      </c>
      <c r="D106" t="s">
        <v>555</v>
      </c>
      <c r="E106" t="s">
        <v>238</v>
      </c>
      <c r="F106" t="s">
        <v>560</v>
      </c>
      <c r="G106" t="s">
        <v>556</v>
      </c>
      <c r="H106" t="s">
        <v>556</v>
      </c>
      <c r="I106" t="s">
        <v>552</v>
      </c>
      <c r="J106" t="s">
        <v>552</v>
      </c>
    </row>
    <row r="107" spans="1:10" x14ac:dyDescent="0.35">
      <c r="A107" t="s">
        <v>396</v>
      </c>
      <c r="B107" t="s">
        <v>222</v>
      </c>
      <c r="C107" t="s">
        <v>396</v>
      </c>
      <c r="D107" t="s">
        <v>338</v>
      </c>
      <c r="E107" t="s">
        <v>553</v>
      </c>
      <c r="F107" t="s">
        <v>563</v>
      </c>
      <c r="G107" t="s">
        <v>552</v>
      </c>
      <c r="H107" t="s">
        <v>552</v>
      </c>
      <c r="I107" t="s">
        <v>552</v>
      </c>
      <c r="J107" t="s">
        <v>552</v>
      </c>
    </row>
    <row r="108" spans="1:10" x14ac:dyDescent="0.35">
      <c r="A108" t="s">
        <v>403</v>
      </c>
      <c r="B108" t="s">
        <v>226</v>
      </c>
      <c r="C108" t="s">
        <v>403</v>
      </c>
      <c r="D108" t="s">
        <v>335</v>
      </c>
      <c r="E108" t="s">
        <v>199</v>
      </c>
      <c r="F108" t="s">
        <v>563</v>
      </c>
      <c r="G108" t="s">
        <v>552</v>
      </c>
      <c r="H108" t="s">
        <v>552</v>
      </c>
      <c r="I108" t="s">
        <v>552</v>
      </c>
      <c r="J108" t="s">
        <v>552</v>
      </c>
    </row>
    <row r="109" spans="1:10" x14ac:dyDescent="0.35">
      <c r="A109" t="s">
        <v>419</v>
      </c>
      <c r="B109" t="s">
        <v>99</v>
      </c>
      <c r="C109" t="s">
        <v>419</v>
      </c>
      <c r="D109" t="s">
        <v>338</v>
      </c>
      <c r="E109" t="s">
        <v>553</v>
      </c>
      <c r="F109" t="s">
        <v>560</v>
      </c>
      <c r="G109" t="s">
        <v>552</v>
      </c>
      <c r="H109" t="s">
        <v>552</v>
      </c>
      <c r="I109" t="s">
        <v>552</v>
      </c>
      <c r="J109" t="s">
        <v>552</v>
      </c>
    </row>
    <row r="110" spans="1:10" x14ac:dyDescent="0.35">
      <c r="A110" t="s">
        <v>404</v>
      </c>
      <c r="B110" t="s">
        <v>91</v>
      </c>
      <c r="C110" t="s">
        <v>404</v>
      </c>
      <c r="D110" t="s">
        <v>555</v>
      </c>
      <c r="E110" t="s">
        <v>238</v>
      </c>
      <c r="F110" t="s">
        <v>554</v>
      </c>
      <c r="G110" t="s">
        <v>552</v>
      </c>
      <c r="H110" t="s">
        <v>552</v>
      </c>
      <c r="I110" t="s">
        <v>552</v>
      </c>
      <c r="J110" t="s">
        <v>552</v>
      </c>
    </row>
    <row r="111" spans="1:10" x14ac:dyDescent="0.35">
      <c r="A111" t="s">
        <v>415</v>
      </c>
      <c r="B111" t="s">
        <v>96</v>
      </c>
      <c r="C111" t="s">
        <v>415</v>
      </c>
      <c r="D111" t="s">
        <v>489</v>
      </c>
      <c r="E111" t="s">
        <v>254</v>
      </c>
      <c r="F111" t="s">
        <v>563</v>
      </c>
      <c r="G111" t="s">
        <v>552</v>
      </c>
      <c r="H111" t="s">
        <v>552</v>
      </c>
      <c r="I111" t="s">
        <v>556</v>
      </c>
      <c r="J111" t="s">
        <v>552</v>
      </c>
    </row>
    <row r="112" spans="1:10" x14ac:dyDescent="0.35">
      <c r="A112" t="s">
        <v>405</v>
      </c>
      <c r="B112" t="s">
        <v>92</v>
      </c>
      <c r="C112" t="s">
        <v>405</v>
      </c>
      <c r="D112" t="s">
        <v>489</v>
      </c>
      <c r="E112" t="s">
        <v>254</v>
      </c>
      <c r="F112" t="s">
        <v>551</v>
      </c>
      <c r="G112" t="s">
        <v>556</v>
      </c>
      <c r="H112" t="s">
        <v>552</v>
      </c>
      <c r="I112" t="s">
        <v>552</v>
      </c>
      <c r="J112" t="s">
        <v>552</v>
      </c>
    </row>
    <row r="113" spans="1:10" x14ac:dyDescent="0.35">
      <c r="A113" t="s">
        <v>406</v>
      </c>
      <c r="B113" t="s">
        <v>93</v>
      </c>
      <c r="C113" t="s">
        <v>406</v>
      </c>
      <c r="D113" t="s">
        <v>555</v>
      </c>
      <c r="E113" t="s">
        <v>238</v>
      </c>
      <c r="F113" t="s">
        <v>554</v>
      </c>
      <c r="G113" t="s">
        <v>556</v>
      </c>
      <c r="H113" t="s">
        <v>556</v>
      </c>
      <c r="I113" t="s">
        <v>552</v>
      </c>
      <c r="J113" t="s">
        <v>552</v>
      </c>
    </row>
    <row r="114" spans="1:10" x14ac:dyDescent="0.35">
      <c r="A114" t="s">
        <v>411</v>
      </c>
      <c r="B114" t="s">
        <v>94</v>
      </c>
      <c r="C114" t="s">
        <v>411</v>
      </c>
      <c r="D114" t="s">
        <v>558</v>
      </c>
      <c r="E114" t="s">
        <v>559</v>
      </c>
      <c r="F114" t="s">
        <v>560</v>
      </c>
      <c r="G114" t="s">
        <v>552</v>
      </c>
      <c r="H114" t="s">
        <v>552</v>
      </c>
      <c r="I114" t="s">
        <v>552</v>
      </c>
      <c r="J114" t="s">
        <v>552</v>
      </c>
    </row>
    <row r="115" spans="1:10" x14ac:dyDescent="0.35">
      <c r="A115" t="s">
        <v>417</v>
      </c>
      <c r="B115" t="s">
        <v>97</v>
      </c>
      <c r="C115" t="s">
        <v>417</v>
      </c>
      <c r="D115" t="s">
        <v>338</v>
      </c>
      <c r="E115" t="s">
        <v>553</v>
      </c>
      <c r="F115" t="s">
        <v>560</v>
      </c>
      <c r="G115" t="s">
        <v>552</v>
      </c>
      <c r="H115" t="s">
        <v>552</v>
      </c>
      <c r="I115" t="s">
        <v>552</v>
      </c>
      <c r="J115" t="s">
        <v>552</v>
      </c>
    </row>
    <row r="116" spans="1:10" x14ac:dyDescent="0.35">
      <c r="A116" t="s">
        <v>418</v>
      </c>
      <c r="B116" t="s">
        <v>98</v>
      </c>
      <c r="C116" t="s">
        <v>418</v>
      </c>
      <c r="D116" t="s">
        <v>558</v>
      </c>
      <c r="E116" t="s">
        <v>559</v>
      </c>
      <c r="F116" t="s">
        <v>560</v>
      </c>
      <c r="G116" t="s">
        <v>552</v>
      </c>
      <c r="H116" t="s">
        <v>552</v>
      </c>
      <c r="I116" t="s">
        <v>556</v>
      </c>
      <c r="J116" t="s">
        <v>552</v>
      </c>
    </row>
    <row r="117" spans="1:10" x14ac:dyDescent="0.35">
      <c r="A117" t="s">
        <v>420</v>
      </c>
      <c r="B117" t="s">
        <v>234</v>
      </c>
      <c r="C117" t="s">
        <v>420</v>
      </c>
      <c r="D117" t="s">
        <v>335</v>
      </c>
      <c r="E117" t="s">
        <v>199</v>
      </c>
      <c r="F117" t="s">
        <v>560</v>
      </c>
      <c r="G117" t="s">
        <v>552</v>
      </c>
      <c r="H117" t="s">
        <v>552</v>
      </c>
      <c r="I117" t="s">
        <v>556</v>
      </c>
      <c r="J117" t="s">
        <v>552</v>
      </c>
    </row>
    <row r="118" spans="1:10" x14ac:dyDescent="0.35">
      <c r="A118" t="s">
        <v>425</v>
      </c>
      <c r="B118" t="s">
        <v>101</v>
      </c>
      <c r="C118" t="s">
        <v>425</v>
      </c>
      <c r="D118" t="s">
        <v>489</v>
      </c>
      <c r="E118" t="s">
        <v>254</v>
      </c>
      <c r="F118" t="s">
        <v>551</v>
      </c>
      <c r="G118" t="s">
        <v>552</v>
      </c>
      <c r="H118" t="s">
        <v>552</v>
      </c>
      <c r="I118" t="s">
        <v>552</v>
      </c>
      <c r="J118" t="s">
        <v>552</v>
      </c>
    </row>
    <row r="119" spans="1:10" x14ac:dyDescent="0.35">
      <c r="A119" t="s">
        <v>442</v>
      </c>
      <c r="B119" t="s">
        <v>114</v>
      </c>
      <c r="C119" t="s">
        <v>442</v>
      </c>
      <c r="D119" t="s">
        <v>489</v>
      </c>
      <c r="E119" t="s">
        <v>254</v>
      </c>
      <c r="F119" t="s">
        <v>551</v>
      </c>
      <c r="G119" t="s">
        <v>552</v>
      </c>
      <c r="H119" t="s">
        <v>552</v>
      </c>
      <c r="I119" t="s">
        <v>552</v>
      </c>
      <c r="J119" t="s">
        <v>552</v>
      </c>
    </row>
    <row r="120" spans="1:10" x14ac:dyDescent="0.35">
      <c r="A120" t="s">
        <v>443</v>
      </c>
      <c r="B120" t="s">
        <v>115</v>
      </c>
      <c r="C120" t="s">
        <v>443</v>
      </c>
      <c r="D120" t="s">
        <v>335</v>
      </c>
      <c r="E120" t="s">
        <v>199</v>
      </c>
      <c r="F120" t="s">
        <v>554</v>
      </c>
      <c r="G120" t="s">
        <v>556</v>
      </c>
      <c r="H120" t="s">
        <v>556</v>
      </c>
      <c r="I120" t="s">
        <v>552</v>
      </c>
      <c r="J120" t="s">
        <v>552</v>
      </c>
    </row>
    <row r="121" spans="1:10" x14ac:dyDescent="0.35">
      <c r="A121" t="s">
        <v>426</v>
      </c>
      <c r="B121" t="s">
        <v>102</v>
      </c>
      <c r="C121" t="s">
        <v>426</v>
      </c>
      <c r="D121" t="s">
        <v>550</v>
      </c>
      <c r="E121" t="s">
        <v>252</v>
      </c>
      <c r="F121" t="s">
        <v>554</v>
      </c>
      <c r="G121" t="s">
        <v>552</v>
      </c>
      <c r="H121" t="s">
        <v>552</v>
      </c>
      <c r="I121" t="s">
        <v>556</v>
      </c>
      <c r="J121" t="s">
        <v>556</v>
      </c>
    </row>
    <row r="122" spans="1:10" x14ac:dyDescent="0.35">
      <c r="A122" t="s">
        <v>432</v>
      </c>
      <c r="B122" t="s">
        <v>106</v>
      </c>
      <c r="C122" t="s">
        <v>432</v>
      </c>
      <c r="D122" t="s">
        <v>489</v>
      </c>
      <c r="E122" t="s">
        <v>254</v>
      </c>
      <c r="F122" t="s">
        <v>551</v>
      </c>
      <c r="G122" t="s">
        <v>556</v>
      </c>
      <c r="H122" t="s">
        <v>552</v>
      </c>
      <c r="I122" t="s">
        <v>552</v>
      </c>
      <c r="J122" t="s">
        <v>552</v>
      </c>
    </row>
    <row r="123" spans="1:10" x14ac:dyDescent="0.35">
      <c r="A123" t="s">
        <v>433</v>
      </c>
      <c r="B123" t="s">
        <v>107</v>
      </c>
      <c r="C123" t="s">
        <v>433</v>
      </c>
      <c r="D123" t="s">
        <v>338</v>
      </c>
      <c r="E123" t="s">
        <v>553</v>
      </c>
      <c r="F123" t="s">
        <v>560</v>
      </c>
      <c r="G123" t="s">
        <v>552</v>
      </c>
      <c r="H123" t="s">
        <v>552</v>
      </c>
      <c r="I123" t="s">
        <v>556</v>
      </c>
      <c r="J123" t="s">
        <v>556</v>
      </c>
    </row>
    <row r="124" spans="1:10" x14ac:dyDescent="0.35">
      <c r="A124" t="s">
        <v>429</v>
      </c>
      <c r="B124" t="s">
        <v>104</v>
      </c>
      <c r="C124" t="s">
        <v>429</v>
      </c>
      <c r="D124" t="s">
        <v>335</v>
      </c>
      <c r="E124" t="s">
        <v>199</v>
      </c>
      <c r="F124" t="s">
        <v>554</v>
      </c>
      <c r="G124" t="s">
        <v>552</v>
      </c>
      <c r="H124" t="s">
        <v>552</v>
      </c>
      <c r="I124" t="s">
        <v>556</v>
      </c>
      <c r="J124" t="s">
        <v>556</v>
      </c>
    </row>
    <row r="125" spans="1:10" x14ac:dyDescent="0.35">
      <c r="A125" t="s">
        <v>440</v>
      </c>
      <c r="B125" t="s">
        <v>112</v>
      </c>
      <c r="C125" t="s">
        <v>440</v>
      </c>
      <c r="D125" t="s">
        <v>555</v>
      </c>
      <c r="E125" t="s">
        <v>238</v>
      </c>
      <c r="F125" t="s">
        <v>563</v>
      </c>
      <c r="G125" t="s">
        <v>556</v>
      </c>
      <c r="H125" t="s">
        <v>552</v>
      </c>
      <c r="I125" t="s">
        <v>552</v>
      </c>
      <c r="J125" t="s">
        <v>552</v>
      </c>
    </row>
    <row r="126" spans="1:10" x14ac:dyDescent="0.35">
      <c r="A126" t="s">
        <v>441</v>
      </c>
      <c r="B126" t="s">
        <v>113</v>
      </c>
      <c r="C126" t="s">
        <v>441</v>
      </c>
      <c r="D126" t="s">
        <v>489</v>
      </c>
      <c r="E126" t="s">
        <v>254</v>
      </c>
      <c r="F126" t="s">
        <v>554</v>
      </c>
      <c r="G126" t="s">
        <v>552</v>
      </c>
      <c r="H126" t="s">
        <v>552</v>
      </c>
      <c r="I126" t="s">
        <v>556</v>
      </c>
      <c r="J126" t="s">
        <v>556</v>
      </c>
    </row>
    <row r="127" spans="1:10" x14ac:dyDescent="0.35">
      <c r="A127" t="s">
        <v>569</v>
      </c>
      <c r="B127" t="s">
        <v>570</v>
      </c>
      <c r="C127" t="s">
        <v>569</v>
      </c>
      <c r="D127" t="s">
        <v>402</v>
      </c>
      <c r="E127" t="s">
        <v>562</v>
      </c>
      <c r="G127" t="s">
        <v>552</v>
      </c>
      <c r="H127" t="s">
        <v>552</v>
      </c>
      <c r="I127" t="s">
        <v>556</v>
      </c>
      <c r="J127" t="s">
        <v>552</v>
      </c>
    </row>
    <row r="128" spans="1:10" x14ac:dyDescent="0.35">
      <c r="A128" t="s">
        <v>428</v>
      </c>
      <c r="B128" t="s">
        <v>103</v>
      </c>
      <c r="C128" t="s">
        <v>428</v>
      </c>
      <c r="D128" t="s">
        <v>402</v>
      </c>
      <c r="E128" t="s">
        <v>562</v>
      </c>
      <c r="F128" t="s">
        <v>554</v>
      </c>
      <c r="G128" t="s">
        <v>556</v>
      </c>
      <c r="H128" t="s">
        <v>556</v>
      </c>
      <c r="I128" t="s">
        <v>552</v>
      </c>
      <c r="J128" t="s">
        <v>552</v>
      </c>
    </row>
    <row r="129" spans="1:10" x14ac:dyDescent="0.35">
      <c r="A129" t="s">
        <v>353</v>
      </c>
      <c r="B129" t="s">
        <v>207</v>
      </c>
      <c r="C129" t="s">
        <v>353</v>
      </c>
      <c r="D129" t="s">
        <v>335</v>
      </c>
      <c r="E129" t="s">
        <v>199</v>
      </c>
      <c r="F129" t="s">
        <v>563</v>
      </c>
      <c r="G129" t="s">
        <v>552</v>
      </c>
      <c r="H129" t="s">
        <v>552</v>
      </c>
      <c r="I129" t="s">
        <v>556</v>
      </c>
      <c r="J129" t="s">
        <v>556</v>
      </c>
    </row>
    <row r="130" spans="1:10" x14ac:dyDescent="0.35">
      <c r="A130" t="s">
        <v>424</v>
      </c>
      <c r="B130" t="s">
        <v>237</v>
      </c>
      <c r="C130" t="s">
        <v>424</v>
      </c>
      <c r="D130" t="s">
        <v>338</v>
      </c>
      <c r="E130" t="s">
        <v>553</v>
      </c>
      <c r="F130" t="s">
        <v>563</v>
      </c>
      <c r="G130" t="s">
        <v>552</v>
      </c>
      <c r="H130" t="s">
        <v>552</v>
      </c>
      <c r="I130" t="s">
        <v>552</v>
      </c>
      <c r="J130" t="s">
        <v>552</v>
      </c>
    </row>
    <row r="131" spans="1:10" x14ac:dyDescent="0.35">
      <c r="A131" t="s">
        <v>423</v>
      </c>
      <c r="B131" t="s">
        <v>236</v>
      </c>
      <c r="C131" t="s">
        <v>423</v>
      </c>
      <c r="D131" t="s">
        <v>558</v>
      </c>
      <c r="E131" t="s">
        <v>559</v>
      </c>
      <c r="F131" t="s">
        <v>560</v>
      </c>
      <c r="G131" t="s">
        <v>552</v>
      </c>
      <c r="H131" t="s">
        <v>552</v>
      </c>
      <c r="I131" t="s">
        <v>556</v>
      </c>
      <c r="J131" t="s">
        <v>552</v>
      </c>
    </row>
    <row r="132" spans="1:10" x14ac:dyDescent="0.35">
      <c r="A132" t="s">
        <v>437</v>
      </c>
      <c r="B132" t="s">
        <v>110</v>
      </c>
      <c r="C132" t="s">
        <v>437</v>
      </c>
      <c r="D132" t="s">
        <v>335</v>
      </c>
      <c r="E132" t="s">
        <v>199</v>
      </c>
      <c r="F132" t="s">
        <v>563</v>
      </c>
      <c r="G132" t="s">
        <v>556</v>
      </c>
      <c r="H132" t="s">
        <v>552</v>
      </c>
      <c r="I132" t="s">
        <v>552</v>
      </c>
      <c r="J132" t="s">
        <v>552</v>
      </c>
    </row>
    <row r="133" spans="1:10" x14ac:dyDescent="0.35">
      <c r="A133" t="s">
        <v>436</v>
      </c>
      <c r="B133" t="s">
        <v>109</v>
      </c>
      <c r="C133" t="s">
        <v>436</v>
      </c>
      <c r="D133" t="s">
        <v>338</v>
      </c>
      <c r="E133" t="s">
        <v>553</v>
      </c>
      <c r="F133" t="s">
        <v>554</v>
      </c>
      <c r="G133" t="s">
        <v>552</v>
      </c>
      <c r="H133" t="s">
        <v>552</v>
      </c>
      <c r="I133" t="s">
        <v>556</v>
      </c>
      <c r="J133" t="s">
        <v>552</v>
      </c>
    </row>
    <row r="134" spans="1:10" x14ac:dyDescent="0.35">
      <c r="A134" t="s">
        <v>422</v>
      </c>
      <c r="B134" t="s">
        <v>100</v>
      </c>
      <c r="C134" t="s">
        <v>422</v>
      </c>
      <c r="D134" t="s">
        <v>555</v>
      </c>
      <c r="E134" t="s">
        <v>238</v>
      </c>
      <c r="F134" t="s">
        <v>563</v>
      </c>
      <c r="G134" t="s">
        <v>552</v>
      </c>
      <c r="H134" t="s">
        <v>552</v>
      </c>
      <c r="I134" t="s">
        <v>552</v>
      </c>
      <c r="J134" t="s">
        <v>552</v>
      </c>
    </row>
    <row r="135" spans="1:10" x14ac:dyDescent="0.35">
      <c r="A135" t="s">
        <v>439</v>
      </c>
      <c r="B135" t="s">
        <v>111</v>
      </c>
      <c r="C135" t="s">
        <v>439</v>
      </c>
      <c r="D135" t="s">
        <v>489</v>
      </c>
      <c r="E135" t="s">
        <v>254</v>
      </c>
      <c r="F135" t="s">
        <v>551</v>
      </c>
      <c r="G135" t="s">
        <v>552</v>
      </c>
      <c r="H135" t="s">
        <v>552</v>
      </c>
      <c r="I135" t="s">
        <v>552</v>
      </c>
      <c r="J135" t="s">
        <v>552</v>
      </c>
    </row>
    <row r="136" spans="1:10" x14ac:dyDescent="0.35">
      <c r="A136" t="s">
        <v>434</v>
      </c>
      <c r="B136" t="s">
        <v>108</v>
      </c>
      <c r="C136" t="s">
        <v>434</v>
      </c>
      <c r="D136" t="s">
        <v>335</v>
      </c>
      <c r="E136" t="s">
        <v>199</v>
      </c>
      <c r="F136" t="s">
        <v>563</v>
      </c>
      <c r="G136" t="s">
        <v>552</v>
      </c>
      <c r="H136" t="s">
        <v>552</v>
      </c>
      <c r="I136" t="s">
        <v>552</v>
      </c>
      <c r="J136" t="s">
        <v>552</v>
      </c>
    </row>
    <row r="137" spans="1:10" x14ac:dyDescent="0.35">
      <c r="A137" t="s">
        <v>445</v>
      </c>
      <c r="B137" t="s">
        <v>116</v>
      </c>
      <c r="C137" t="s">
        <v>445</v>
      </c>
      <c r="D137" t="s">
        <v>489</v>
      </c>
      <c r="E137" t="s">
        <v>254</v>
      </c>
      <c r="F137" t="s">
        <v>554</v>
      </c>
      <c r="G137" t="s">
        <v>552</v>
      </c>
      <c r="H137" t="s">
        <v>552</v>
      </c>
      <c r="I137" t="s">
        <v>556</v>
      </c>
      <c r="J137" t="s">
        <v>552</v>
      </c>
    </row>
    <row r="138" spans="1:10" x14ac:dyDescent="0.35">
      <c r="A138" t="s">
        <v>453</v>
      </c>
      <c r="B138" t="s">
        <v>123</v>
      </c>
      <c r="C138" t="s">
        <v>453</v>
      </c>
      <c r="D138" t="s">
        <v>335</v>
      </c>
      <c r="E138" t="s">
        <v>199</v>
      </c>
      <c r="F138" t="s">
        <v>560</v>
      </c>
      <c r="G138" t="s">
        <v>552</v>
      </c>
      <c r="H138" t="s">
        <v>552</v>
      </c>
      <c r="I138" t="s">
        <v>556</v>
      </c>
      <c r="J138" t="s">
        <v>552</v>
      </c>
    </row>
    <row r="139" spans="1:10" x14ac:dyDescent="0.35">
      <c r="A139" t="s">
        <v>452</v>
      </c>
      <c r="B139" t="s">
        <v>122</v>
      </c>
      <c r="C139" t="s">
        <v>452</v>
      </c>
      <c r="D139" t="s">
        <v>550</v>
      </c>
      <c r="E139" t="s">
        <v>252</v>
      </c>
      <c r="F139" t="s">
        <v>551</v>
      </c>
      <c r="G139" t="s">
        <v>552</v>
      </c>
      <c r="H139" t="s">
        <v>552</v>
      </c>
      <c r="I139" t="s">
        <v>552</v>
      </c>
      <c r="J139" t="s">
        <v>552</v>
      </c>
    </row>
    <row r="140" spans="1:10" x14ac:dyDescent="0.35">
      <c r="A140" t="s">
        <v>450</v>
      </c>
      <c r="B140" t="s">
        <v>120</v>
      </c>
      <c r="C140" t="s">
        <v>450</v>
      </c>
      <c r="D140" t="s">
        <v>558</v>
      </c>
      <c r="E140" t="s">
        <v>559</v>
      </c>
      <c r="F140" t="s">
        <v>560</v>
      </c>
      <c r="G140" t="s">
        <v>552</v>
      </c>
      <c r="H140" t="s">
        <v>552</v>
      </c>
      <c r="I140" t="s">
        <v>552</v>
      </c>
      <c r="J140" t="s">
        <v>552</v>
      </c>
    </row>
    <row r="141" spans="1:10" x14ac:dyDescent="0.35">
      <c r="A141" t="s">
        <v>571</v>
      </c>
      <c r="B141" t="s">
        <v>572</v>
      </c>
      <c r="C141" t="s">
        <v>571</v>
      </c>
      <c r="D141" t="s">
        <v>402</v>
      </c>
      <c r="E141" t="s">
        <v>562</v>
      </c>
      <c r="F141" t="s">
        <v>560</v>
      </c>
      <c r="G141" t="s">
        <v>552</v>
      </c>
      <c r="H141" t="s">
        <v>552</v>
      </c>
      <c r="I141" t="s">
        <v>556</v>
      </c>
      <c r="J141" t="s">
        <v>552</v>
      </c>
    </row>
    <row r="142" spans="1:10" x14ac:dyDescent="0.35">
      <c r="A142" t="s">
        <v>446</v>
      </c>
      <c r="B142" t="s">
        <v>243</v>
      </c>
      <c r="C142" t="s">
        <v>446</v>
      </c>
      <c r="D142" t="s">
        <v>335</v>
      </c>
      <c r="E142" t="s">
        <v>199</v>
      </c>
      <c r="F142" t="s">
        <v>560</v>
      </c>
      <c r="G142" t="s">
        <v>552</v>
      </c>
      <c r="H142" t="s">
        <v>552</v>
      </c>
      <c r="I142" t="s">
        <v>556</v>
      </c>
      <c r="J142" t="s">
        <v>552</v>
      </c>
    </row>
    <row r="143" spans="1:10" x14ac:dyDescent="0.35">
      <c r="A143" t="s">
        <v>454</v>
      </c>
      <c r="B143" t="s">
        <v>124</v>
      </c>
      <c r="C143" t="s">
        <v>454</v>
      </c>
      <c r="D143" t="s">
        <v>335</v>
      </c>
      <c r="E143" t="s">
        <v>199</v>
      </c>
      <c r="F143" t="s">
        <v>560</v>
      </c>
      <c r="G143" t="s">
        <v>552</v>
      </c>
      <c r="H143" t="s">
        <v>552</v>
      </c>
      <c r="I143" t="s">
        <v>552</v>
      </c>
      <c r="J143" t="s">
        <v>552</v>
      </c>
    </row>
    <row r="144" spans="1:10" x14ac:dyDescent="0.35">
      <c r="A144" t="s">
        <v>449</v>
      </c>
      <c r="B144" t="s">
        <v>119</v>
      </c>
      <c r="C144" t="s">
        <v>449</v>
      </c>
      <c r="D144" t="s">
        <v>402</v>
      </c>
      <c r="E144" t="s">
        <v>562</v>
      </c>
      <c r="F144" t="s">
        <v>563</v>
      </c>
      <c r="G144" t="s">
        <v>552</v>
      </c>
      <c r="H144" t="s">
        <v>552</v>
      </c>
      <c r="I144" t="s">
        <v>552</v>
      </c>
      <c r="J144" t="s">
        <v>552</v>
      </c>
    </row>
    <row r="145" spans="1:10" x14ac:dyDescent="0.35">
      <c r="A145" t="s">
        <v>447</v>
      </c>
      <c r="B145" t="s">
        <v>117</v>
      </c>
      <c r="C145" t="s">
        <v>447</v>
      </c>
      <c r="D145" t="s">
        <v>489</v>
      </c>
      <c r="E145" t="s">
        <v>254</v>
      </c>
      <c r="F145" t="s">
        <v>551</v>
      </c>
      <c r="G145" t="s">
        <v>552</v>
      </c>
      <c r="H145" t="s">
        <v>552</v>
      </c>
      <c r="I145" t="s">
        <v>552</v>
      </c>
      <c r="J145" t="s">
        <v>552</v>
      </c>
    </row>
    <row r="146" spans="1:10" x14ac:dyDescent="0.35">
      <c r="A146" t="s">
        <v>448</v>
      </c>
      <c r="B146" t="s">
        <v>118</v>
      </c>
      <c r="C146" t="s">
        <v>448</v>
      </c>
      <c r="D146" t="s">
        <v>489</v>
      </c>
      <c r="E146" t="s">
        <v>254</v>
      </c>
      <c r="F146" t="s">
        <v>563</v>
      </c>
      <c r="G146" t="s">
        <v>556</v>
      </c>
      <c r="H146" t="s">
        <v>556</v>
      </c>
      <c r="I146" t="s">
        <v>552</v>
      </c>
      <c r="J146" t="s">
        <v>552</v>
      </c>
    </row>
    <row r="147" spans="1:10" x14ac:dyDescent="0.35">
      <c r="A147" t="s">
        <v>431</v>
      </c>
      <c r="B147" t="s">
        <v>105</v>
      </c>
      <c r="C147" t="s">
        <v>431</v>
      </c>
      <c r="D147" t="s">
        <v>338</v>
      </c>
      <c r="E147" t="s">
        <v>553</v>
      </c>
      <c r="F147" t="s">
        <v>554</v>
      </c>
      <c r="G147" t="s">
        <v>552</v>
      </c>
      <c r="H147" t="s">
        <v>552</v>
      </c>
      <c r="I147" t="s">
        <v>552</v>
      </c>
      <c r="J147" t="s">
        <v>552</v>
      </c>
    </row>
    <row r="148" spans="1:10" x14ac:dyDescent="0.35">
      <c r="A148" t="s">
        <v>438</v>
      </c>
      <c r="B148" t="s">
        <v>241</v>
      </c>
      <c r="C148" t="s">
        <v>438</v>
      </c>
      <c r="D148" t="s">
        <v>335</v>
      </c>
      <c r="E148" t="s">
        <v>199</v>
      </c>
      <c r="F148" t="s">
        <v>560</v>
      </c>
      <c r="G148" t="s">
        <v>552</v>
      </c>
      <c r="H148" t="s">
        <v>552</v>
      </c>
      <c r="I148" t="s">
        <v>556</v>
      </c>
      <c r="J148" t="s">
        <v>552</v>
      </c>
    </row>
    <row r="149" spans="1:10" x14ac:dyDescent="0.35">
      <c r="A149" t="s">
        <v>451</v>
      </c>
      <c r="B149" t="s">
        <v>121</v>
      </c>
      <c r="C149" t="s">
        <v>451</v>
      </c>
      <c r="D149" t="s">
        <v>558</v>
      </c>
      <c r="E149" t="s">
        <v>559</v>
      </c>
      <c r="F149" t="s">
        <v>560</v>
      </c>
      <c r="G149" t="s">
        <v>556</v>
      </c>
      <c r="H149" t="s">
        <v>556</v>
      </c>
      <c r="I149" t="s">
        <v>552</v>
      </c>
      <c r="J149" t="s">
        <v>552</v>
      </c>
    </row>
    <row r="150" spans="1:10" x14ac:dyDescent="0.35">
      <c r="A150" t="s">
        <v>456</v>
      </c>
      <c r="B150" t="s">
        <v>125</v>
      </c>
      <c r="C150" t="s">
        <v>456</v>
      </c>
      <c r="D150" t="s">
        <v>555</v>
      </c>
      <c r="E150" t="s">
        <v>238</v>
      </c>
      <c r="F150" t="s">
        <v>560</v>
      </c>
      <c r="G150" t="s">
        <v>556</v>
      </c>
      <c r="H150" t="s">
        <v>556</v>
      </c>
      <c r="I150" t="s">
        <v>552</v>
      </c>
      <c r="J150" t="s">
        <v>552</v>
      </c>
    </row>
    <row r="151" spans="1:10" x14ac:dyDescent="0.35">
      <c r="A151" t="s">
        <v>458</v>
      </c>
      <c r="B151" t="s">
        <v>126</v>
      </c>
      <c r="C151" t="s">
        <v>458</v>
      </c>
      <c r="D151" t="s">
        <v>550</v>
      </c>
      <c r="E151" t="s">
        <v>252</v>
      </c>
      <c r="F151" t="s">
        <v>563</v>
      </c>
      <c r="G151" t="s">
        <v>552</v>
      </c>
      <c r="H151" t="s">
        <v>552</v>
      </c>
      <c r="I151" t="s">
        <v>552</v>
      </c>
      <c r="J151" t="s">
        <v>552</v>
      </c>
    </row>
    <row r="152" spans="1:10" x14ac:dyDescent="0.35">
      <c r="A152" t="s">
        <v>462</v>
      </c>
      <c r="B152" t="s">
        <v>130</v>
      </c>
      <c r="C152" t="s">
        <v>462</v>
      </c>
      <c r="D152" t="s">
        <v>335</v>
      </c>
      <c r="E152" t="s">
        <v>199</v>
      </c>
      <c r="F152" t="s">
        <v>554</v>
      </c>
      <c r="G152" t="s">
        <v>552</v>
      </c>
      <c r="H152" t="s">
        <v>552</v>
      </c>
      <c r="I152" t="s">
        <v>556</v>
      </c>
      <c r="J152" t="s">
        <v>556</v>
      </c>
    </row>
    <row r="153" spans="1:10" x14ac:dyDescent="0.35">
      <c r="A153" t="s">
        <v>459</v>
      </c>
      <c r="B153" t="s">
        <v>127</v>
      </c>
      <c r="C153" t="s">
        <v>459</v>
      </c>
      <c r="D153" t="s">
        <v>402</v>
      </c>
      <c r="E153" t="s">
        <v>562</v>
      </c>
      <c r="F153" t="s">
        <v>554</v>
      </c>
      <c r="G153" t="s">
        <v>552</v>
      </c>
      <c r="H153" t="s">
        <v>552</v>
      </c>
      <c r="I153" t="s">
        <v>552</v>
      </c>
      <c r="J153" t="s">
        <v>552</v>
      </c>
    </row>
    <row r="154" spans="1:10" x14ac:dyDescent="0.35">
      <c r="A154" t="s">
        <v>463</v>
      </c>
      <c r="B154" t="s">
        <v>131</v>
      </c>
      <c r="C154" t="s">
        <v>463</v>
      </c>
      <c r="D154" t="s">
        <v>335</v>
      </c>
      <c r="E154" t="s">
        <v>199</v>
      </c>
      <c r="F154" t="s">
        <v>563</v>
      </c>
      <c r="G154" t="s">
        <v>556</v>
      </c>
      <c r="H154" t="s">
        <v>556</v>
      </c>
      <c r="I154" t="s">
        <v>552</v>
      </c>
      <c r="J154" t="s">
        <v>552</v>
      </c>
    </row>
    <row r="155" spans="1:10" x14ac:dyDescent="0.35">
      <c r="A155" t="s">
        <v>469</v>
      </c>
      <c r="B155" t="s">
        <v>134</v>
      </c>
      <c r="C155" t="s">
        <v>469</v>
      </c>
      <c r="D155" t="s">
        <v>402</v>
      </c>
      <c r="E155" t="s">
        <v>562</v>
      </c>
      <c r="F155" t="s">
        <v>554</v>
      </c>
      <c r="G155" t="s">
        <v>552</v>
      </c>
      <c r="H155" t="s">
        <v>552</v>
      </c>
      <c r="I155" t="s">
        <v>552</v>
      </c>
      <c r="J155" t="s">
        <v>552</v>
      </c>
    </row>
    <row r="156" spans="1:10" x14ac:dyDescent="0.35">
      <c r="A156" t="s">
        <v>460</v>
      </c>
      <c r="B156" t="s">
        <v>128</v>
      </c>
      <c r="C156" t="s">
        <v>460</v>
      </c>
      <c r="D156" t="s">
        <v>402</v>
      </c>
      <c r="E156" t="s">
        <v>562</v>
      </c>
      <c r="F156" t="s">
        <v>554</v>
      </c>
      <c r="G156" t="s">
        <v>556</v>
      </c>
      <c r="H156" t="s">
        <v>552</v>
      </c>
      <c r="I156" t="s">
        <v>552</v>
      </c>
      <c r="J156" t="s">
        <v>552</v>
      </c>
    </row>
    <row r="157" spans="1:10" x14ac:dyDescent="0.35">
      <c r="A157" t="s">
        <v>461</v>
      </c>
      <c r="B157" t="s">
        <v>129</v>
      </c>
      <c r="C157" t="s">
        <v>461</v>
      </c>
      <c r="D157" t="s">
        <v>335</v>
      </c>
      <c r="E157" t="s">
        <v>199</v>
      </c>
      <c r="F157" t="s">
        <v>563</v>
      </c>
      <c r="G157" t="s">
        <v>552</v>
      </c>
      <c r="H157" t="s">
        <v>552</v>
      </c>
      <c r="I157" t="s">
        <v>552</v>
      </c>
      <c r="J157" t="s">
        <v>552</v>
      </c>
    </row>
    <row r="158" spans="1:10" x14ac:dyDescent="0.35">
      <c r="A158" t="s">
        <v>464</v>
      </c>
      <c r="B158" t="s">
        <v>132</v>
      </c>
      <c r="C158" t="s">
        <v>464</v>
      </c>
      <c r="D158" t="s">
        <v>338</v>
      </c>
      <c r="E158" t="s">
        <v>553</v>
      </c>
      <c r="F158" t="s">
        <v>560</v>
      </c>
      <c r="G158" t="s">
        <v>552</v>
      </c>
      <c r="H158" t="s">
        <v>552</v>
      </c>
      <c r="I158" t="s">
        <v>552</v>
      </c>
      <c r="J158" t="s">
        <v>552</v>
      </c>
    </row>
    <row r="159" spans="1:10" x14ac:dyDescent="0.35">
      <c r="A159" t="s">
        <v>468</v>
      </c>
      <c r="B159" t="s">
        <v>133</v>
      </c>
      <c r="C159" t="s">
        <v>468</v>
      </c>
      <c r="D159" t="s">
        <v>558</v>
      </c>
      <c r="E159" t="s">
        <v>559</v>
      </c>
      <c r="F159" t="s">
        <v>560</v>
      </c>
      <c r="G159" t="s">
        <v>552</v>
      </c>
      <c r="H159" t="s">
        <v>552</v>
      </c>
      <c r="I159" t="s">
        <v>552</v>
      </c>
      <c r="J159" t="s">
        <v>552</v>
      </c>
    </row>
    <row r="160" spans="1:10" x14ac:dyDescent="0.35">
      <c r="A160" t="s">
        <v>466</v>
      </c>
      <c r="B160" t="s">
        <v>247</v>
      </c>
      <c r="C160" t="s">
        <v>466</v>
      </c>
      <c r="D160" t="s">
        <v>402</v>
      </c>
      <c r="E160" t="s">
        <v>562</v>
      </c>
      <c r="F160" t="s">
        <v>560</v>
      </c>
      <c r="G160" t="s">
        <v>552</v>
      </c>
      <c r="H160" t="s">
        <v>552</v>
      </c>
      <c r="I160" t="s">
        <v>552</v>
      </c>
      <c r="J160" t="s">
        <v>552</v>
      </c>
    </row>
    <row r="161" spans="1:10" x14ac:dyDescent="0.35">
      <c r="A161" t="s">
        <v>474</v>
      </c>
      <c r="B161" t="s">
        <v>135</v>
      </c>
      <c r="C161" t="s">
        <v>474</v>
      </c>
      <c r="D161" t="s">
        <v>555</v>
      </c>
      <c r="E161" t="s">
        <v>238</v>
      </c>
      <c r="F161" t="s">
        <v>560</v>
      </c>
      <c r="G161" t="s">
        <v>556</v>
      </c>
      <c r="H161" t="s">
        <v>556</v>
      </c>
      <c r="I161" t="s">
        <v>556</v>
      </c>
      <c r="J161" t="s">
        <v>552</v>
      </c>
    </row>
    <row r="162" spans="1:10" x14ac:dyDescent="0.35">
      <c r="A162" t="s">
        <v>475</v>
      </c>
      <c r="B162" t="s">
        <v>136</v>
      </c>
      <c r="C162" t="s">
        <v>475</v>
      </c>
      <c r="D162" t="s">
        <v>338</v>
      </c>
      <c r="E162" t="s">
        <v>553</v>
      </c>
      <c r="F162" t="s">
        <v>554</v>
      </c>
      <c r="G162" t="s">
        <v>552</v>
      </c>
      <c r="H162" t="s">
        <v>552</v>
      </c>
      <c r="I162" t="s">
        <v>552</v>
      </c>
      <c r="J162" t="s">
        <v>552</v>
      </c>
    </row>
    <row r="163" spans="1:10" x14ac:dyDescent="0.35">
      <c r="A163" t="s">
        <v>476</v>
      </c>
      <c r="B163" t="s">
        <v>137</v>
      </c>
      <c r="C163" t="s">
        <v>476</v>
      </c>
      <c r="D163" t="s">
        <v>338</v>
      </c>
      <c r="E163" t="s">
        <v>553</v>
      </c>
      <c r="F163" t="s">
        <v>554</v>
      </c>
      <c r="G163" t="s">
        <v>556</v>
      </c>
      <c r="H163" t="s">
        <v>556</v>
      </c>
      <c r="I163" t="s">
        <v>552</v>
      </c>
      <c r="J163" t="s">
        <v>552</v>
      </c>
    </row>
    <row r="164" spans="1:10" x14ac:dyDescent="0.35">
      <c r="A164" t="s">
        <v>477</v>
      </c>
      <c r="B164" t="s">
        <v>138</v>
      </c>
      <c r="C164" t="s">
        <v>477</v>
      </c>
      <c r="D164" t="s">
        <v>489</v>
      </c>
      <c r="E164" t="s">
        <v>254</v>
      </c>
      <c r="F164" t="s">
        <v>551</v>
      </c>
      <c r="G164" t="s">
        <v>552</v>
      </c>
      <c r="H164" t="s">
        <v>552</v>
      </c>
      <c r="I164" t="s">
        <v>552</v>
      </c>
      <c r="J164" t="s">
        <v>552</v>
      </c>
    </row>
    <row r="165" spans="1:10" x14ac:dyDescent="0.35">
      <c r="A165" t="s">
        <v>534</v>
      </c>
      <c r="B165" t="s">
        <v>177</v>
      </c>
      <c r="C165" t="s">
        <v>534</v>
      </c>
      <c r="D165" t="s">
        <v>335</v>
      </c>
      <c r="E165" t="s">
        <v>199</v>
      </c>
      <c r="F165" t="s">
        <v>563</v>
      </c>
      <c r="G165" t="s">
        <v>552</v>
      </c>
      <c r="H165" t="s">
        <v>552</v>
      </c>
      <c r="I165" t="s">
        <v>556</v>
      </c>
      <c r="J165" t="s">
        <v>556</v>
      </c>
    </row>
    <row r="166" spans="1:10" x14ac:dyDescent="0.35">
      <c r="A166" t="s">
        <v>486</v>
      </c>
      <c r="B166" t="s">
        <v>146</v>
      </c>
      <c r="C166" t="s">
        <v>486</v>
      </c>
      <c r="D166" t="s">
        <v>558</v>
      </c>
      <c r="E166" t="s">
        <v>559</v>
      </c>
      <c r="F166" t="s">
        <v>560</v>
      </c>
      <c r="G166" t="s">
        <v>552</v>
      </c>
      <c r="H166" t="s">
        <v>552</v>
      </c>
      <c r="I166" t="s">
        <v>556</v>
      </c>
      <c r="J166" t="s">
        <v>552</v>
      </c>
    </row>
    <row r="167" spans="1:10" x14ac:dyDescent="0.35">
      <c r="A167" t="s">
        <v>493</v>
      </c>
      <c r="B167" t="s">
        <v>150</v>
      </c>
      <c r="C167" t="s">
        <v>493</v>
      </c>
      <c r="D167" t="s">
        <v>489</v>
      </c>
      <c r="E167" t="s">
        <v>254</v>
      </c>
      <c r="F167" t="s">
        <v>563</v>
      </c>
      <c r="G167" t="s">
        <v>552</v>
      </c>
      <c r="H167" t="s">
        <v>552</v>
      </c>
      <c r="I167" t="s">
        <v>556</v>
      </c>
      <c r="J167" t="s">
        <v>556</v>
      </c>
    </row>
    <row r="168" spans="1:10" x14ac:dyDescent="0.35">
      <c r="A168" t="s">
        <v>479</v>
      </c>
      <c r="B168" t="s">
        <v>139</v>
      </c>
      <c r="C168" t="s">
        <v>479</v>
      </c>
      <c r="D168" t="s">
        <v>555</v>
      </c>
      <c r="E168" t="s">
        <v>238</v>
      </c>
      <c r="F168" t="s">
        <v>560</v>
      </c>
      <c r="G168" t="s">
        <v>556</v>
      </c>
      <c r="H168" t="s">
        <v>556</v>
      </c>
      <c r="I168" t="s">
        <v>552</v>
      </c>
      <c r="J168" t="s">
        <v>552</v>
      </c>
    </row>
    <row r="169" spans="1:10" x14ac:dyDescent="0.35">
      <c r="A169" t="s">
        <v>481</v>
      </c>
      <c r="B169" t="s">
        <v>141</v>
      </c>
      <c r="C169" t="s">
        <v>481</v>
      </c>
      <c r="D169" t="s">
        <v>489</v>
      </c>
      <c r="E169" t="s">
        <v>254</v>
      </c>
      <c r="F169" t="s">
        <v>551</v>
      </c>
      <c r="G169" t="s">
        <v>556</v>
      </c>
      <c r="H169" t="s">
        <v>552</v>
      </c>
      <c r="I169" t="s">
        <v>552</v>
      </c>
      <c r="J169" t="s">
        <v>552</v>
      </c>
    </row>
    <row r="170" spans="1:10" x14ac:dyDescent="0.35">
      <c r="A170" t="s">
        <v>488</v>
      </c>
      <c r="B170" t="s">
        <v>148</v>
      </c>
      <c r="C170" t="s">
        <v>488</v>
      </c>
      <c r="D170" t="s">
        <v>338</v>
      </c>
      <c r="E170" t="s">
        <v>553</v>
      </c>
      <c r="F170" t="s">
        <v>554</v>
      </c>
      <c r="G170" t="s">
        <v>552</v>
      </c>
      <c r="H170" t="s">
        <v>552</v>
      </c>
      <c r="I170" t="s">
        <v>552</v>
      </c>
      <c r="J170" t="s">
        <v>552</v>
      </c>
    </row>
    <row r="171" spans="1:10" x14ac:dyDescent="0.35">
      <c r="A171" t="s">
        <v>500</v>
      </c>
      <c r="B171" t="s">
        <v>155</v>
      </c>
      <c r="C171" t="s">
        <v>500</v>
      </c>
      <c r="D171" t="s">
        <v>489</v>
      </c>
      <c r="E171" t="s">
        <v>254</v>
      </c>
      <c r="F171" t="s">
        <v>560</v>
      </c>
      <c r="G171" t="s">
        <v>552</v>
      </c>
      <c r="H171" t="s">
        <v>552</v>
      </c>
      <c r="I171" t="s">
        <v>556</v>
      </c>
      <c r="J171" t="s">
        <v>556</v>
      </c>
    </row>
    <row r="172" spans="1:10" x14ac:dyDescent="0.35">
      <c r="A172" t="s">
        <v>484</v>
      </c>
      <c r="B172" t="s">
        <v>144</v>
      </c>
      <c r="C172" t="s">
        <v>484</v>
      </c>
      <c r="D172" t="s">
        <v>489</v>
      </c>
      <c r="E172" t="s">
        <v>254</v>
      </c>
      <c r="F172" t="s">
        <v>551</v>
      </c>
      <c r="G172" t="s">
        <v>556</v>
      </c>
      <c r="H172" t="s">
        <v>552</v>
      </c>
      <c r="I172" t="s">
        <v>552</v>
      </c>
      <c r="J172" t="s">
        <v>552</v>
      </c>
    </row>
    <row r="173" spans="1:10" x14ac:dyDescent="0.35">
      <c r="A173" t="s">
        <v>482</v>
      </c>
      <c r="B173" t="s">
        <v>142</v>
      </c>
      <c r="C173" t="s">
        <v>482</v>
      </c>
      <c r="D173" t="s">
        <v>335</v>
      </c>
      <c r="E173" t="s">
        <v>199</v>
      </c>
      <c r="F173" t="s">
        <v>560</v>
      </c>
      <c r="G173" t="s">
        <v>552</v>
      </c>
      <c r="H173" t="s">
        <v>552</v>
      </c>
      <c r="I173" t="s">
        <v>556</v>
      </c>
      <c r="J173" t="s">
        <v>556</v>
      </c>
    </row>
    <row r="174" spans="1:10" x14ac:dyDescent="0.35">
      <c r="A174" t="s">
        <v>495</v>
      </c>
      <c r="B174" t="s">
        <v>256</v>
      </c>
      <c r="C174" t="s">
        <v>495</v>
      </c>
      <c r="D174" t="s">
        <v>338</v>
      </c>
      <c r="E174" t="s">
        <v>553</v>
      </c>
      <c r="F174" t="s">
        <v>560</v>
      </c>
      <c r="G174" t="s">
        <v>552</v>
      </c>
      <c r="H174" t="s">
        <v>552</v>
      </c>
      <c r="I174" t="s">
        <v>552</v>
      </c>
      <c r="J174" t="s">
        <v>552</v>
      </c>
    </row>
    <row r="175" spans="1:10" x14ac:dyDescent="0.35">
      <c r="A175" t="s">
        <v>496</v>
      </c>
      <c r="B175" t="s">
        <v>152</v>
      </c>
      <c r="C175" t="s">
        <v>496</v>
      </c>
      <c r="D175" t="s">
        <v>338</v>
      </c>
      <c r="E175" t="s">
        <v>553</v>
      </c>
      <c r="F175" t="s">
        <v>560</v>
      </c>
      <c r="G175" t="s">
        <v>552</v>
      </c>
      <c r="H175" t="s">
        <v>552</v>
      </c>
      <c r="I175" t="s">
        <v>552</v>
      </c>
      <c r="J175" t="s">
        <v>552</v>
      </c>
    </row>
    <row r="176" spans="1:10" x14ac:dyDescent="0.35">
      <c r="A176" t="s">
        <v>483</v>
      </c>
      <c r="B176" t="s">
        <v>143</v>
      </c>
      <c r="C176" t="s">
        <v>483</v>
      </c>
      <c r="D176" t="s">
        <v>335</v>
      </c>
      <c r="E176" t="s">
        <v>199</v>
      </c>
      <c r="F176" t="s">
        <v>563</v>
      </c>
      <c r="G176" t="s">
        <v>552</v>
      </c>
      <c r="H176" t="s">
        <v>552</v>
      </c>
      <c r="I176" t="s">
        <v>556</v>
      </c>
      <c r="J176" t="s">
        <v>556</v>
      </c>
    </row>
    <row r="177" spans="1:10" x14ac:dyDescent="0.35">
      <c r="A177" t="s">
        <v>487</v>
      </c>
      <c r="B177" t="s">
        <v>147</v>
      </c>
      <c r="C177" t="s">
        <v>487</v>
      </c>
      <c r="D177" t="s">
        <v>489</v>
      </c>
      <c r="E177" t="s">
        <v>254</v>
      </c>
      <c r="F177" t="s">
        <v>551</v>
      </c>
      <c r="G177" t="s">
        <v>552</v>
      </c>
      <c r="H177" t="s">
        <v>552</v>
      </c>
      <c r="I177" t="s">
        <v>552</v>
      </c>
      <c r="J177" t="s">
        <v>552</v>
      </c>
    </row>
    <row r="178" spans="1:10" x14ac:dyDescent="0.35">
      <c r="A178" t="s">
        <v>537</v>
      </c>
      <c r="B178" t="s">
        <v>178</v>
      </c>
      <c r="C178" t="s">
        <v>537</v>
      </c>
      <c r="D178" t="s">
        <v>489</v>
      </c>
      <c r="E178" t="s">
        <v>254</v>
      </c>
      <c r="F178" t="s">
        <v>554</v>
      </c>
      <c r="G178" t="s">
        <v>556</v>
      </c>
      <c r="H178" t="s">
        <v>552</v>
      </c>
      <c r="I178" t="s">
        <v>552</v>
      </c>
      <c r="J178" t="s">
        <v>552</v>
      </c>
    </row>
    <row r="179" spans="1:10" x14ac:dyDescent="0.35">
      <c r="A179" t="s">
        <v>490</v>
      </c>
      <c r="B179" t="s">
        <v>149</v>
      </c>
      <c r="C179" t="s">
        <v>490</v>
      </c>
      <c r="D179" t="s">
        <v>489</v>
      </c>
      <c r="E179" t="s">
        <v>254</v>
      </c>
      <c r="F179" t="s">
        <v>551</v>
      </c>
      <c r="G179" t="s">
        <v>556</v>
      </c>
      <c r="H179" t="s">
        <v>556</v>
      </c>
      <c r="I179" t="s">
        <v>552</v>
      </c>
      <c r="J179" t="s">
        <v>552</v>
      </c>
    </row>
    <row r="180" spans="1:10" x14ac:dyDescent="0.35">
      <c r="A180" t="s">
        <v>344</v>
      </c>
      <c r="B180" t="s">
        <v>52</v>
      </c>
      <c r="C180" t="s">
        <v>344</v>
      </c>
      <c r="D180" t="s">
        <v>558</v>
      </c>
      <c r="E180" t="s">
        <v>559</v>
      </c>
      <c r="F180" t="s">
        <v>560</v>
      </c>
      <c r="G180" t="s">
        <v>552</v>
      </c>
      <c r="H180" t="s">
        <v>552</v>
      </c>
      <c r="I180" t="s">
        <v>552</v>
      </c>
      <c r="J180" t="s">
        <v>552</v>
      </c>
    </row>
    <row r="181" spans="1:10" x14ac:dyDescent="0.35">
      <c r="A181" t="s">
        <v>412</v>
      </c>
      <c r="B181" t="s">
        <v>95</v>
      </c>
      <c r="C181" t="s">
        <v>412</v>
      </c>
      <c r="D181" t="s">
        <v>550</v>
      </c>
      <c r="E181" t="s">
        <v>252</v>
      </c>
      <c r="F181" t="s">
        <v>563</v>
      </c>
      <c r="G181" t="s">
        <v>552</v>
      </c>
      <c r="H181" t="s">
        <v>552</v>
      </c>
      <c r="I181" t="s">
        <v>552</v>
      </c>
      <c r="J181" t="s">
        <v>552</v>
      </c>
    </row>
    <row r="182" spans="1:10" x14ac:dyDescent="0.35">
      <c r="A182" t="s">
        <v>399</v>
      </c>
      <c r="B182" t="s">
        <v>223</v>
      </c>
      <c r="C182" t="s">
        <v>399</v>
      </c>
      <c r="D182" t="s">
        <v>402</v>
      </c>
      <c r="E182" t="s">
        <v>562</v>
      </c>
      <c r="F182" t="s">
        <v>560</v>
      </c>
      <c r="G182" t="s">
        <v>552</v>
      </c>
      <c r="H182" t="s">
        <v>552</v>
      </c>
      <c r="I182" t="s">
        <v>556</v>
      </c>
      <c r="J182" t="s">
        <v>556</v>
      </c>
    </row>
    <row r="183" spans="1:10" x14ac:dyDescent="0.35">
      <c r="A183" t="s">
        <v>407</v>
      </c>
      <c r="B183" t="s">
        <v>227</v>
      </c>
      <c r="C183" t="s">
        <v>407</v>
      </c>
      <c r="D183" t="s">
        <v>402</v>
      </c>
      <c r="E183" t="s">
        <v>562</v>
      </c>
      <c r="F183" t="s">
        <v>554</v>
      </c>
      <c r="G183" t="s">
        <v>552</v>
      </c>
      <c r="H183" t="s">
        <v>552</v>
      </c>
      <c r="I183" t="s">
        <v>556</v>
      </c>
      <c r="J183" t="s">
        <v>556</v>
      </c>
    </row>
    <row r="184" spans="1:10" x14ac:dyDescent="0.35">
      <c r="A184" t="s">
        <v>527</v>
      </c>
      <c r="B184" t="s">
        <v>266</v>
      </c>
      <c r="C184" t="s">
        <v>527</v>
      </c>
      <c r="D184" t="s">
        <v>402</v>
      </c>
      <c r="E184" t="s">
        <v>562</v>
      </c>
      <c r="F184" t="s">
        <v>554</v>
      </c>
      <c r="G184" t="s">
        <v>552</v>
      </c>
      <c r="H184" t="s">
        <v>552</v>
      </c>
      <c r="I184" t="s">
        <v>556</v>
      </c>
      <c r="J184" t="s">
        <v>556</v>
      </c>
    </row>
    <row r="185" spans="1:10" x14ac:dyDescent="0.35">
      <c r="A185" t="s">
        <v>480</v>
      </c>
      <c r="B185" t="s">
        <v>140</v>
      </c>
      <c r="C185" t="s">
        <v>480</v>
      </c>
      <c r="D185" t="s">
        <v>489</v>
      </c>
      <c r="E185" t="s">
        <v>254</v>
      </c>
      <c r="F185" t="s">
        <v>563</v>
      </c>
      <c r="G185" t="s">
        <v>556</v>
      </c>
      <c r="H185" t="s">
        <v>556</v>
      </c>
      <c r="I185" t="s">
        <v>552</v>
      </c>
      <c r="J185" t="s">
        <v>552</v>
      </c>
    </row>
    <row r="186" spans="1:10" x14ac:dyDescent="0.35">
      <c r="A186" t="s">
        <v>494</v>
      </c>
      <c r="B186" t="s">
        <v>151</v>
      </c>
      <c r="C186" t="s">
        <v>494</v>
      </c>
      <c r="D186" t="s">
        <v>402</v>
      </c>
      <c r="E186" t="s">
        <v>562</v>
      </c>
      <c r="F186" t="s">
        <v>554</v>
      </c>
      <c r="G186" t="s">
        <v>556</v>
      </c>
      <c r="H186" t="s">
        <v>552</v>
      </c>
      <c r="I186" t="s">
        <v>556</v>
      </c>
      <c r="J186" t="s">
        <v>552</v>
      </c>
    </row>
    <row r="187" spans="1:10" x14ac:dyDescent="0.35">
      <c r="A187" t="s">
        <v>497</v>
      </c>
      <c r="B187" t="s">
        <v>153</v>
      </c>
      <c r="C187" t="s">
        <v>497</v>
      </c>
      <c r="D187" t="s">
        <v>558</v>
      </c>
      <c r="E187" t="s">
        <v>559</v>
      </c>
      <c r="F187" t="s">
        <v>560</v>
      </c>
      <c r="G187" t="s">
        <v>552</v>
      </c>
      <c r="H187" t="s">
        <v>552</v>
      </c>
      <c r="I187" t="s">
        <v>552</v>
      </c>
      <c r="J187" t="s">
        <v>552</v>
      </c>
    </row>
    <row r="188" spans="1:10" x14ac:dyDescent="0.35">
      <c r="A188" t="s">
        <v>311</v>
      </c>
      <c r="B188" t="s">
        <v>32</v>
      </c>
      <c r="C188" t="s">
        <v>311</v>
      </c>
      <c r="D188" t="s">
        <v>558</v>
      </c>
      <c r="E188" t="s">
        <v>559</v>
      </c>
      <c r="F188" t="s">
        <v>560</v>
      </c>
      <c r="G188" t="s">
        <v>552</v>
      </c>
      <c r="H188" t="s">
        <v>552</v>
      </c>
      <c r="I188" t="s">
        <v>552</v>
      </c>
      <c r="J188" t="s">
        <v>552</v>
      </c>
    </row>
    <row r="189" spans="1:10" x14ac:dyDescent="0.35">
      <c r="A189" t="s">
        <v>501</v>
      </c>
      <c r="B189" t="s">
        <v>156</v>
      </c>
      <c r="C189" t="s">
        <v>501</v>
      </c>
      <c r="D189" t="s">
        <v>555</v>
      </c>
      <c r="E189" t="s">
        <v>238</v>
      </c>
      <c r="F189" t="s">
        <v>563</v>
      </c>
      <c r="G189" t="s">
        <v>556</v>
      </c>
      <c r="H189" t="s">
        <v>556</v>
      </c>
      <c r="I189" t="s">
        <v>552</v>
      </c>
      <c r="J189" t="s">
        <v>552</v>
      </c>
    </row>
    <row r="190" spans="1:10" x14ac:dyDescent="0.35">
      <c r="A190" t="s">
        <v>573</v>
      </c>
      <c r="B190" t="s">
        <v>574</v>
      </c>
      <c r="C190" t="s">
        <v>573</v>
      </c>
      <c r="D190" t="s">
        <v>335</v>
      </c>
      <c r="E190" t="s">
        <v>199</v>
      </c>
      <c r="F190" t="s">
        <v>560</v>
      </c>
      <c r="G190" t="s">
        <v>552</v>
      </c>
      <c r="H190" t="s">
        <v>552</v>
      </c>
      <c r="I190" t="s">
        <v>552</v>
      </c>
      <c r="J190" t="s">
        <v>552</v>
      </c>
    </row>
    <row r="191" spans="1:10" x14ac:dyDescent="0.35">
      <c r="A191" t="s">
        <v>508</v>
      </c>
      <c r="B191" t="s">
        <v>160</v>
      </c>
      <c r="C191" t="s">
        <v>508</v>
      </c>
      <c r="D191" t="s">
        <v>338</v>
      </c>
      <c r="E191" t="s">
        <v>553</v>
      </c>
      <c r="F191" t="s">
        <v>563</v>
      </c>
      <c r="G191" t="s">
        <v>552</v>
      </c>
      <c r="H191" t="s">
        <v>552</v>
      </c>
      <c r="I191" t="s">
        <v>552</v>
      </c>
      <c r="J191" t="s">
        <v>552</v>
      </c>
    </row>
    <row r="192" spans="1:10" x14ac:dyDescent="0.35">
      <c r="A192" t="s">
        <v>520</v>
      </c>
      <c r="B192" t="s">
        <v>168</v>
      </c>
      <c r="C192" t="s">
        <v>520</v>
      </c>
      <c r="D192" t="s">
        <v>489</v>
      </c>
      <c r="E192" t="s">
        <v>254</v>
      </c>
      <c r="F192" t="s">
        <v>551</v>
      </c>
      <c r="G192" t="s">
        <v>552</v>
      </c>
      <c r="H192" t="s">
        <v>552</v>
      </c>
      <c r="I192" t="s">
        <v>552</v>
      </c>
      <c r="J192" t="s">
        <v>552</v>
      </c>
    </row>
    <row r="193" spans="1:10" x14ac:dyDescent="0.35">
      <c r="A193" t="s">
        <v>507</v>
      </c>
      <c r="B193" t="s">
        <v>159</v>
      </c>
      <c r="C193" t="s">
        <v>507</v>
      </c>
      <c r="D193" t="s">
        <v>335</v>
      </c>
      <c r="E193" t="s">
        <v>199</v>
      </c>
      <c r="F193" t="s">
        <v>554</v>
      </c>
      <c r="G193" t="s">
        <v>552</v>
      </c>
      <c r="H193" t="s">
        <v>552</v>
      </c>
      <c r="I193" t="s">
        <v>552</v>
      </c>
      <c r="J193" t="s">
        <v>552</v>
      </c>
    </row>
    <row r="194" spans="1:10" x14ac:dyDescent="0.35">
      <c r="A194" t="s">
        <v>511</v>
      </c>
      <c r="B194" t="s">
        <v>162</v>
      </c>
      <c r="C194" t="s">
        <v>511</v>
      </c>
      <c r="D194" t="s">
        <v>335</v>
      </c>
      <c r="E194" t="s">
        <v>199</v>
      </c>
      <c r="F194" t="s">
        <v>563</v>
      </c>
      <c r="G194" t="s">
        <v>556</v>
      </c>
      <c r="H194" t="s">
        <v>556</v>
      </c>
      <c r="I194" t="s">
        <v>556</v>
      </c>
      <c r="J194" t="s">
        <v>556</v>
      </c>
    </row>
    <row r="195" spans="1:10" x14ac:dyDescent="0.35">
      <c r="A195" t="s">
        <v>506</v>
      </c>
      <c r="B195" t="s">
        <v>158</v>
      </c>
      <c r="C195" t="s">
        <v>506</v>
      </c>
      <c r="D195" t="s">
        <v>489</v>
      </c>
      <c r="E195" t="s">
        <v>254</v>
      </c>
      <c r="F195" t="s">
        <v>551</v>
      </c>
      <c r="G195" t="s">
        <v>552</v>
      </c>
      <c r="H195" t="s">
        <v>552</v>
      </c>
      <c r="I195" t="s">
        <v>552</v>
      </c>
      <c r="J195" t="s">
        <v>552</v>
      </c>
    </row>
    <row r="196" spans="1:10" x14ac:dyDescent="0.35">
      <c r="A196" t="s">
        <v>513</v>
      </c>
      <c r="B196" t="s">
        <v>163</v>
      </c>
      <c r="C196" t="s">
        <v>513</v>
      </c>
      <c r="D196" t="s">
        <v>335</v>
      </c>
      <c r="E196" t="s">
        <v>199</v>
      </c>
      <c r="F196" t="s">
        <v>563</v>
      </c>
      <c r="G196" t="s">
        <v>552</v>
      </c>
      <c r="H196" t="s">
        <v>552</v>
      </c>
      <c r="I196" t="s">
        <v>556</v>
      </c>
      <c r="J196" t="s">
        <v>556</v>
      </c>
    </row>
    <row r="197" spans="1:10" x14ac:dyDescent="0.35">
      <c r="A197" t="s">
        <v>516</v>
      </c>
      <c r="B197" t="s">
        <v>164</v>
      </c>
      <c r="C197" t="s">
        <v>516</v>
      </c>
      <c r="D197" t="s">
        <v>402</v>
      </c>
      <c r="E197" t="s">
        <v>562</v>
      </c>
      <c r="F197" t="s">
        <v>560</v>
      </c>
      <c r="G197" t="s">
        <v>556</v>
      </c>
      <c r="H197" t="s">
        <v>556</v>
      </c>
      <c r="I197" t="s">
        <v>556</v>
      </c>
      <c r="J197" t="s">
        <v>556</v>
      </c>
    </row>
    <row r="198" spans="1:10" x14ac:dyDescent="0.35">
      <c r="A198" t="s">
        <v>517</v>
      </c>
      <c r="B198" t="s">
        <v>165</v>
      </c>
      <c r="C198" t="s">
        <v>517</v>
      </c>
      <c r="D198" t="s">
        <v>555</v>
      </c>
      <c r="E198" t="s">
        <v>238</v>
      </c>
      <c r="F198" t="s">
        <v>563</v>
      </c>
      <c r="G198" t="s">
        <v>552</v>
      </c>
      <c r="H198" t="s">
        <v>552</v>
      </c>
      <c r="I198" t="s">
        <v>552</v>
      </c>
      <c r="J198" t="s">
        <v>552</v>
      </c>
    </row>
    <row r="199" spans="1:10" x14ac:dyDescent="0.35">
      <c r="A199" t="s">
        <v>518</v>
      </c>
      <c r="B199" t="s">
        <v>575</v>
      </c>
      <c r="C199" t="s">
        <v>518</v>
      </c>
      <c r="D199" t="s">
        <v>555</v>
      </c>
      <c r="E199" t="s">
        <v>238</v>
      </c>
      <c r="F199" t="s">
        <v>554</v>
      </c>
      <c r="G199" t="s">
        <v>552</v>
      </c>
      <c r="H199" t="s">
        <v>552</v>
      </c>
      <c r="I199" t="s">
        <v>552</v>
      </c>
      <c r="J199" t="s">
        <v>552</v>
      </c>
    </row>
    <row r="200" spans="1:10" x14ac:dyDescent="0.35">
      <c r="A200" t="s">
        <v>509</v>
      </c>
      <c r="B200" t="s">
        <v>161</v>
      </c>
      <c r="C200" t="s">
        <v>509</v>
      </c>
      <c r="D200" t="s">
        <v>338</v>
      </c>
      <c r="E200" t="s">
        <v>553</v>
      </c>
      <c r="F200" t="s">
        <v>563</v>
      </c>
      <c r="G200" t="s">
        <v>556</v>
      </c>
      <c r="H200" t="s">
        <v>556</v>
      </c>
      <c r="I200" t="s">
        <v>552</v>
      </c>
      <c r="J200" t="s">
        <v>552</v>
      </c>
    </row>
    <row r="201" spans="1:10" x14ac:dyDescent="0.35">
      <c r="A201" t="s">
        <v>519</v>
      </c>
      <c r="B201" t="s">
        <v>167</v>
      </c>
      <c r="C201" t="s">
        <v>519</v>
      </c>
      <c r="D201" t="s">
        <v>335</v>
      </c>
      <c r="E201" t="s">
        <v>199</v>
      </c>
      <c r="F201" t="s">
        <v>554</v>
      </c>
      <c r="G201" t="s">
        <v>552</v>
      </c>
      <c r="H201" t="s">
        <v>552</v>
      </c>
      <c r="I201" t="s">
        <v>556</v>
      </c>
      <c r="J201" t="s">
        <v>556</v>
      </c>
    </row>
    <row r="202" spans="1:10" x14ac:dyDescent="0.35">
      <c r="A202" t="s">
        <v>521</v>
      </c>
      <c r="B202" t="s">
        <v>169</v>
      </c>
      <c r="C202" t="s">
        <v>521</v>
      </c>
      <c r="D202" t="s">
        <v>489</v>
      </c>
      <c r="E202" t="s">
        <v>254</v>
      </c>
      <c r="F202" t="s">
        <v>551</v>
      </c>
      <c r="G202" t="s">
        <v>552</v>
      </c>
      <c r="H202" t="s">
        <v>552</v>
      </c>
      <c r="I202" t="s">
        <v>552</v>
      </c>
      <c r="J202" t="s">
        <v>552</v>
      </c>
    </row>
    <row r="203" spans="1:10" x14ac:dyDescent="0.35">
      <c r="A203" t="s">
        <v>522</v>
      </c>
      <c r="B203" t="s">
        <v>170</v>
      </c>
      <c r="C203" t="s">
        <v>522</v>
      </c>
      <c r="D203" t="s">
        <v>338</v>
      </c>
      <c r="E203" t="s">
        <v>553</v>
      </c>
      <c r="F203" t="s">
        <v>563</v>
      </c>
      <c r="G203" t="s">
        <v>552</v>
      </c>
      <c r="H203" t="s">
        <v>552</v>
      </c>
      <c r="I203" t="s">
        <v>552</v>
      </c>
      <c r="J203" t="s">
        <v>552</v>
      </c>
    </row>
    <row r="204" spans="1:10" x14ac:dyDescent="0.35">
      <c r="A204" t="s">
        <v>282</v>
      </c>
      <c r="B204" t="s">
        <v>6</v>
      </c>
      <c r="C204" t="s">
        <v>282</v>
      </c>
      <c r="D204" t="s">
        <v>555</v>
      </c>
      <c r="E204" t="s">
        <v>238</v>
      </c>
      <c r="F204" t="s">
        <v>560</v>
      </c>
      <c r="G204" t="s">
        <v>556</v>
      </c>
      <c r="H204" t="s">
        <v>556</v>
      </c>
      <c r="I204" t="s">
        <v>552</v>
      </c>
      <c r="J204" t="s">
        <v>552</v>
      </c>
    </row>
    <row r="205" spans="1:10" x14ac:dyDescent="0.35">
      <c r="A205" t="s">
        <v>355</v>
      </c>
      <c r="B205" t="s">
        <v>59</v>
      </c>
      <c r="C205" t="s">
        <v>355</v>
      </c>
      <c r="D205" t="s">
        <v>558</v>
      </c>
      <c r="E205" t="s">
        <v>559</v>
      </c>
      <c r="F205" t="s">
        <v>560</v>
      </c>
      <c r="G205" t="s">
        <v>552</v>
      </c>
      <c r="H205" t="s">
        <v>552</v>
      </c>
      <c r="I205" t="s">
        <v>552</v>
      </c>
      <c r="J205" t="s">
        <v>552</v>
      </c>
    </row>
    <row r="206" spans="1:10" x14ac:dyDescent="0.35">
      <c r="A206" t="s">
        <v>525</v>
      </c>
      <c r="B206" t="s">
        <v>172</v>
      </c>
      <c r="C206" t="s">
        <v>525</v>
      </c>
      <c r="D206" t="s">
        <v>445</v>
      </c>
      <c r="E206" t="s">
        <v>242</v>
      </c>
      <c r="F206" t="s">
        <v>560</v>
      </c>
      <c r="G206" t="s">
        <v>552</v>
      </c>
      <c r="H206" t="s">
        <v>552</v>
      </c>
      <c r="I206" t="s">
        <v>552</v>
      </c>
      <c r="J206" t="s">
        <v>552</v>
      </c>
    </row>
    <row r="207" spans="1:10" x14ac:dyDescent="0.35">
      <c r="A207" t="s">
        <v>524</v>
      </c>
      <c r="B207" t="s">
        <v>171</v>
      </c>
      <c r="C207" t="s">
        <v>524</v>
      </c>
      <c r="D207" t="s">
        <v>402</v>
      </c>
      <c r="E207" t="s">
        <v>562</v>
      </c>
      <c r="F207" t="s">
        <v>560</v>
      </c>
      <c r="G207" t="s">
        <v>552</v>
      </c>
      <c r="H207" t="s">
        <v>552</v>
      </c>
      <c r="I207" t="s">
        <v>552</v>
      </c>
      <c r="J207" t="s">
        <v>552</v>
      </c>
    </row>
    <row r="208" spans="1:10" x14ac:dyDescent="0.35">
      <c r="A208" t="s">
        <v>526</v>
      </c>
      <c r="B208" t="s">
        <v>173</v>
      </c>
      <c r="C208" t="s">
        <v>526</v>
      </c>
      <c r="D208" t="s">
        <v>338</v>
      </c>
      <c r="E208" t="s">
        <v>553</v>
      </c>
      <c r="F208" t="s">
        <v>563</v>
      </c>
      <c r="G208" t="s">
        <v>552</v>
      </c>
      <c r="H208" t="s">
        <v>552</v>
      </c>
      <c r="I208" t="s">
        <v>552</v>
      </c>
      <c r="J208" t="s">
        <v>552</v>
      </c>
    </row>
    <row r="209" spans="1:10" x14ac:dyDescent="0.35">
      <c r="A209" t="s">
        <v>532</v>
      </c>
      <c r="B209" t="s">
        <v>175</v>
      </c>
      <c r="C209" t="s">
        <v>532</v>
      </c>
      <c r="D209" t="s">
        <v>335</v>
      </c>
      <c r="E209" t="s">
        <v>199</v>
      </c>
      <c r="F209" t="s">
        <v>563</v>
      </c>
      <c r="G209" t="s">
        <v>552</v>
      </c>
      <c r="H209" t="s">
        <v>552</v>
      </c>
      <c r="I209" t="s">
        <v>556</v>
      </c>
      <c r="J209" t="s">
        <v>556</v>
      </c>
    </row>
    <row r="210" spans="1:10" x14ac:dyDescent="0.35">
      <c r="A210" t="s">
        <v>528</v>
      </c>
      <c r="B210" t="s">
        <v>267</v>
      </c>
      <c r="C210" t="s">
        <v>528</v>
      </c>
      <c r="D210" t="s">
        <v>402</v>
      </c>
      <c r="E210" t="s">
        <v>562</v>
      </c>
      <c r="F210" t="s">
        <v>554</v>
      </c>
      <c r="G210" t="s">
        <v>556</v>
      </c>
      <c r="H210" t="s">
        <v>556</v>
      </c>
      <c r="I210" t="s">
        <v>552</v>
      </c>
      <c r="J210" t="s">
        <v>552</v>
      </c>
    </row>
    <row r="211" spans="1:10" x14ac:dyDescent="0.35">
      <c r="A211" t="s">
        <v>531</v>
      </c>
      <c r="B211" t="s">
        <v>174</v>
      </c>
      <c r="C211" t="s">
        <v>531</v>
      </c>
      <c r="D211" t="s">
        <v>335</v>
      </c>
      <c r="E211" t="s">
        <v>199</v>
      </c>
      <c r="F211" t="s">
        <v>563</v>
      </c>
      <c r="G211" t="s">
        <v>556</v>
      </c>
      <c r="H211" t="s">
        <v>556</v>
      </c>
      <c r="I211" t="s">
        <v>552</v>
      </c>
      <c r="J211" t="s">
        <v>552</v>
      </c>
    </row>
    <row r="212" spans="1:10" x14ac:dyDescent="0.35">
      <c r="A212" t="s">
        <v>530</v>
      </c>
      <c r="B212" t="s">
        <v>269</v>
      </c>
      <c r="C212" t="s">
        <v>530</v>
      </c>
      <c r="D212" t="s">
        <v>402</v>
      </c>
      <c r="E212" t="s">
        <v>562</v>
      </c>
      <c r="F212" t="s">
        <v>560</v>
      </c>
      <c r="G212" t="s">
        <v>552</v>
      </c>
      <c r="H212" t="s">
        <v>552</v>
      </c>
      <c r="I212" t="s">
        <v>552</v>
      </c>
      <c r="J212" t="s">
        <v>552</v>
      </c>
    </row>
    <row r="213" spans="1:10" x14ac:dyDescent="0.35">
      <c r="A213" t="s">
        <v>576</v>
      </c>
      <c r="B213" t="s">
        <v>176</v>
      </c>
      <c r="C213" t="s">
        <v>576</v>
      </c>
      <c r="D213" t="s">
        <v>555</v>
      </c>
      <c r="E213" t="s">
        <v>238</v>
      </c>
      <c r="F213" t="s">
        <v>563</v>
      </c>
      <c r="G213" t="s">
        <v>552</v>
      </c>
      <c r="H213" t="s">
        <v>552</v>
      </c>
      <c r="I213" t="s">
        <v>556</v>
      </c>
      <c r="J213" t="s">
        <v>552</v>
      </c>
    </row>
    <row r="214" spans="1:10" x14ac:dyDescent="0.35">
      <c r="A214" t="s">
        <v>536</v>
      </c>
      <c r="B214" t="s">
        <v>272</v>
      </c>
      <c r="C214" t="s">
        <v>536</v>
      </c>
      <c r="D214" t="s">
        <v>555</v>
      </c>
      <c r="E214" t="s">
        <v>238</v>
      </c>
      <c r="F214" t="s">
        <v>563</v>
      </c>
      <c r="G214" t="s">
        <v>556</v>
      </c>
      <c r="H214" t="s">
        <v>556</v>
      </c>
      <c r="I214" t="s">
        <v>552</v>
      </c>
      <c r="J214" t="s">
        <v>552</v>
      </c>
    </row>
    <row r="215" spans="1:10" x14ac:dyDescent="0.35">
      <c r="A215" t="s">
        <v>538</v>
      </c>
      <c r="B215" t="s">
        <v>179</v>
      </c>
      <c r="C215" t="s">
        <v>538</v>
      </c>
      <c r="D215" t="s">
        <v>489</v>
      </c>
      <c r="E215" t="s">
        <v>254</v>
      </c>
      <c r="F215" t="s">
        <v>563</v>
      </c>
      <c r="G215" t="s">
        <v>556</v>
      </c>
      <c r="H215" t="s">
        <v>552</v>
      </c>
      <c r="I215" t="s">
        <v>552</v>
      </c>
      <c r="J215" t="s">
        <v>552</v>
      </c>
    </row>
    <row r="216" spans="1:10" x14ac:dyDescent="0.35">
      <c r="A216" t="s">
        <v>539</v>
      </c>
      <c r="B216" t="s">
        <v>180</v>
      </c>
      <c r="C216" t="s">
        <v>539</v>
      </c>
      <c r="D216" t="s">
        <v>489</v>
      </c>
      <c r="E216" t="s">
        <v>254</v>
      </c>
      <c r="F216" t="s">
        <v>551</v>
      </c>
      <c r="G216" t="s">
        <v>552</v>
      </c>
      <c r="H216" t="s">
        <v>552</v>
      </c>
      <c r="I216" t="s">
        <v>552</v>
      </c>
      <c r="J216" t="s">
        <v>552</v>
      </c>
    </row>
    <row r="217" spans="1:10" x14ac:dyDescent="0.35">
      <c r="A217" t="s">
        <v>577</v>
      </c>
      <c r="B217" t="s">
        <v>578</v>
      </c>
      <c r="C217" t="s">
        <v>577</v>
      </c>
      <c r="D217" t="s">
        <v>402</v>
      </c>
      <c r="E217" t="s">
        <v>562</v>
      </c>
      <c r="F217" t="s">
        <v>560</v>
      </c>
      <c r="G217" t="s">
        <v>552</v>
      </c>
      <c r="H217" t="s">
        <v>552</v>
      </c>
      <c r="I217" t="s">
        <v>556</v>
      </c>
      <c r="J217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VAT</vt:lpstr>
      <vt:lpstr>GDP_LCU</vt:lpstr>
      <vt:lpstr>C</vt:lpstr>
      <vt:lpstr>G</vt:lpstr>
      <vt:lpstr>VAT Rates</vt:lpstr>
      <vt:lpstr>country_code</vt:lpstr>
      <vt:lpstr>'VAT Rates'!_FilterDatabase</vt:lpstr>
    </vt:vector>
  </TitlesOfParts>
  <Company>Duke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James</dc:creator>
  <cp:lastModifiedBy>Sebastian Family</cp:lastModifiedBy>
  <dcterms:created xsi:type="dcterms:W3CDTF">2024-10-08T13:57:08Z</dcterms:created>
  <dcterms:modified xsi:type="dcterms:W3CDTF">2026-04-27T08:06:06Z</dcterms:modified>
</cp:coreProperties>
</file>